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ALLELI-PC\Documents\"/>
    </mc:Choice>
  </mc:AlternateContent>
  <xr:revisionPtr revIDLastSave="0" documentId="8_{59AB6A5F-DF3E-4717-BBA8-3314504BAF90}" xr6:coauthVersionLast="47" xr6:coauthVersionMax="47" xr10:uidLastSave="{00000000-0000-0000-0000-000000000000}"/>
  <bookViews>
    <workbookView xWindow="-120" yWindow="-120" windowWidth="29040" windowHeight="15720" activeTab="2" xr2:uid="{87117E67-5B43-4142-8742-B2E89998289B}"/>
  </bookViews>
  <sheets>
    <sheet name="DATOS" sheetId="2" r:id="rId1"/>
    <sheet name="Hoja2" sheetId="5" state="hidden" r:id="rId2"/>
    <sheet name="Y" sheetId="1" r:id="rId3"/>
    <sheet name="DASHBOARD" sheetId="3" r:id="rId4"/>
  </sheets>
  <definedNames>
    <definedName name="_xlcn.WorksheetConnection_ProyectoSpotifyAnalyticsDashboard.xlsxspotify" hidden="1">spotify[]</definedName>
    <definedName name="DatosExternos_2" localSheetId="0" hidden="1">DATOS!$A$1:$N$480</definedName>
    <definedName name="SegmentaciónDeDatos_Año_de_lanzamiento_del_álbum">#N/A</definedName>
    <definedName name="SegmentaciónDeDatos_Artista_Principal">#N/A</definedName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Y!#REF!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8" r:id="rId13"/>
  </pivotCaches>
  <extLst>
    <ext xmlns:x14="http://schemas.microsoft.com/office/spreadsheetml/2009/9/main" uri="{876F7934-8845-4945-9796-88D515C7AA90}">
      <x14:pivotCaches>
        <pivotCache cacheId="9" r:id="rId14"/>
      </x14:pivotCaches>
    </ext>
    <ext xmlns:x14="http://schemas.microsoft.com/office/spreadsheetml/2009/9/main" uri="{BBE1A952-AA13-448e-AADC-164F8A28A991}">
      <x14:slicerCaches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rretera_y_manta_🎶_9cc49ed3-853e-487f-9b23-c14c42ccc76d" name="carretera_y_manta_🎶" connection="Consulta - carretera_y_manta_🎶"/>
          <x15:modelTable id="spotify" name="spotify" connection="WorksheetConnection_Proyecto Spotify Analytics Dashboard.xlsx!spotify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4" i="1" l="1"/>
  <c r="B43" i="1"/>
  <c r="B42" i="1"/>
  <c r="A13" i="1"/>
  <c r="A19" i="1"/>
  <c r="A7" i="1"/>
  <c r="A17" i="1"/>
  <c r="B40" i="1"/>
  <c r="A3" i="1"/>
  <c r="A11" i="1"/>
  <c r="A5" i="1"/>
  <c r="A9" i="1"/>
  <c r="A15" i="1"/>
  <c r="B4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1F6C11-9B6B-4B34-9F5B-D2DD80D2599B}" name="Consulta - carretera_y_manta_🎶" description="Conexión a la consulta 'carretera_y_manta_🎶' en el libro." type="100" refreshedVersion="8" minRefreshableVersion="5" saveData="1">
    <extLst>
      <ext xmlns:x15="http://schemas.microsoft.com/office/spreadsheetml/2010/11/main" uri="{DE250136-89BD-433C-8126-D09CA5730AF9}">
        <x15:connection id="0a7480a0-6fb0-42c3-ba0f-c533b9526216"/>
      </ext>
    </extLst>
  </connection>
  <connection id="2" xr16:uid="{75159DE7-FDCA-438A-974B-569EDA26C34F}" keepAlive="1" name="ModelConnection_DatosExternos_2" description="Modelo de datos" type="5" refreshedVersion="8" minRefreshableVersion="5" saveData="1">
    <dbPr connection="Data Model Connection" command="carretera_y_manta_🎶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3D72AB3F-B8F4-4C56-82E9-5C54BC9211AC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CA4C14D8-00DF-4711-9CB9-AD6E97FA7837}" name="WorksheetConnection_Proyecto Spotify Analytics Dashboard.xlsx!spotify" type="102" refreshedVersion="8" minRefreshableVersion="5">
    <extLst>
      <ext xmlns:x15="http://schemas.microsoft.com/office/spreadsheetml/2010/11/main" uri="{DE250136-89BD-433C-8126-D09CA5730AF9}">
        <x15:connection id="spotify" autoDelete="1">
          <x15:rangePr sourceName="_xlcn.WorksheetConnection_ProyectoSpotifyAnalyticsDashboard.xlsxspotify"/>
        </x15:connection>
      </ext>
    </extLst>
  </connection>
</connections>
</file>

<file path=xl/sharedStrings.xml><?xml version="1.0" encoding="utf-8"?>
<sst xmlns="http://schemas.openxmlformats.org/spreadsheetml/2006/main" count="3936" uniqueCount="1386">
  <si>
    <t>Nombre de la canción</t>
  </si>
  <si>
    <t>Nombre(s) del artista</t>
  </si>
  <si>
    <t>Nombre del álbum</t>
  </si>
  <si>
    <t>Fecha de lanzamiento del álbum</t>
  </si>
  <si>
    <t>Año de lanzamiento del álbum</t>
  </si>
  <si>
    <t>Duración de la canción (ms)</t>
  </si>
  <si>
    <t>Duración segundos (s)</t>
  </si>
  <si>
    <t>Popularidad</t>
  </si>
  <si>
    <t>Explícito</t>
  </si>
  <si>
    <t>Añadido en</t>
  </si>
  <si>
    <t>Año Añadido</t>
  </si>
  <si>
    <t>Destino o casualidad</t>
  </si>
  <si>
    <t>Malú</t>
  </si>
  <si>
    <t>Oxígeno</t>
  </si>
  <si>
    <t>2018-09-21</t>
  </si>
  <si>
    <t>Antes Que No</t>
  </si>
  <si>
    <t>David Bisbal</t>
  </si>
  <si>
    <t>20 Años Contigo</t>
  </si>
  <si>
    <t>2021-12-02</t>
  </si>
  <si>
    <t>Juro Que Te Amo</t>
  </si>
  <si>
    <t>Fue Nuestro Amor</t>
  </si>
  <si>
    <t>Hijos Del Mar</t>
  </si>
  <si>
    <t>2016-12-02</t>
  </si>
  <si>
    <t>Una Palabra</t>
  </si>
  <si>
    <t>Mi Norte Es Tu Sur</t>
  </si>
  <si>
    <t>Boca de hule - Acústico</t>
  </si>
  <si>
    <t>Pablo Alborán</t>
  </si>
  <si>
    <t>Prometo (Edición especial)</t>
  </si>
  <si>
    <t>2018-11-30</t>
  </si>
  <si>
    <t>Recuérdame - Nueva versión</t>
  </si>
  <si>
    <t>Terral</t>
  </si>
  <si>
    <t>2016-06-10</t>
  </si>
  <si>
    <t>Desde Que Llegaste</t>
  </si>
  <si>
    <t>Reyli Barba</t>
  </si>
  <si>
    <t>Reyli En La Luna</t>
  </si>
  <si>
    <t>2004-09-14</t>
  </si>
  <si>
    <t>Tu refugio - Acústico</t>
  </si>
  <si>
    <t>Perdóname</t>
  </si>
  <si>
    <t>Ricky Martin</t>
  </si>
  <si>
    <t>A Quien Quiera Escuchar (Deluxe Edition)</t>
  </si>
  <si>
    <t>2015-02-10</t>
  </si>
  <si>
    <t>Curo tus labios - Acústico</t>
  </si>
  <si>
    <t>Sin miedo a nada (feat. Amaia Montero)</t>
  </si>
  <si>
    <t>Alex Ubago, Amaia Montero</t>
  </si>
  <si>
    <t>¿Qué pides tú? (Argentina)</t>
  </si>
  <si>
    <t>2002-11-15</t>
  </si>
  <si>
    <t>Aunque no te pueda ver</t>
  </si>
  <si>
    <t>Alex Ubago</t>
  </si>
  <si>
    <t>Fantasía o realidad</t>
  </si>
  <si>
    <t>2003-11-24</t>
  </si>
  <si>
    <t>Estar contigo</t>
  </si>
  <si>
    <t>Mentiras sinceras</t>
  </si>
  <si>
    <t>2012-12-04</t>
  </si>
  <si>
    <t>Rayando el Sol (feat. Pablo Alborán)</t>
  </si>
  <si>
    <t>Maná, Pablo Alborán</t>
  </si>
  <si>
    <t>2019-04-12</t>
  </si>
  <si>
    <t>Mujeres</t>
  </si>
  <si>
    <t>Ricardo Arjona</t>
  </si>
  <si>
    <t>Quién Dijo Ayer</t>
  </si>
  <si>
    <t>1992</t>
  </si>
  <si>
    <t>Tanto - Acústico</t>
  </si>
  <si>
    <t>Tanto (Edición Premium)</t>
  </si>
  <si>
    <t>2012</t>
  </si>
  <si>
    <t>Me Enamoré de Ti</t>
  </si>
  <si>
    <t>Chayanne</t>
  </si>
  <si>
    <t>No Hay Imposibles</t>
  </si>
  <si>
    <t>2010-02-23</t>
  </si>
  <si>
    <t>Contigo Siempre</t>
  </si>
  <si>
    <t>Alejandro Fernández, Sebastian Yatra</t>
  </si>
  <si>
    <t>2018-08-31</t>
  </si>
  <si>
    <t>Cosas Del Amor</t>
  </si>
  <si>
    <t>Enrique Iglesias</t>
  </si>
  <si>
    <t>1998-09-22</t>
  </si>
  <si>
    <t>Alguien Como Tú</t>
  </si>
  <si>
    <t>Desnudo</t>
  </si>
  <si>
    <t>Contigo</t>
  </si>
  <si>
    <t>Nunca Te Olvidaré</t>
  </si>
  <si>
    <t>Candela</t>
  </si>
  <si>
    <t>Simplemente</t>
  </si>
  <si>
    <t>2000-11-28</t>
  </si>
  <si>
    <t>Prometo - Versión piano y cuerda</t>
  </si>
  <si>
    <t>Prometo (Versión piano y cuerda)</t>
  </si>
  <si>
    <t>2017-10-12</t>
  </si>
  <si>
    <t>Entra en Mi Vida</t>
  </si>
  <si>
    <t>Sin Bandera</t>
  </si>
  <si>
    <t>Hasta Ahora</t>
  </si>
  <si>
    <t>2007-11-13</t>
  </si>
  <si>
    <t>En Ésta No</t>
  </si>
  <si>
    <t>Una Última Vez (Delux Edition)</t>
  </si>
  <si>
    <t>Y Tu Sombra</t>
  </si>
  <si>
    <t>Gaby Moreno</t>
  </si>
  <si>
    <t>Illustrated Songs</t>
  </si>
  <si>
    <t>2011-04-05</t>
  </si>
  <si>
    <t>Dueles</t>
  </si>
  <si>
    <t>Jesse &amp; Joy</t>
  </si>
  <si>
    <t>Un Besito Más</t>
  </si>
  <si>
    <t>2015-12-04</t>
  </si>
  <si>
    <t>Dígale</t>
  </si>
  <si>
    <t>Corazón Latino</t>
  </si>
  <si>
    <t>2002-10-15</t>
  </si>
  <si>
    <t>Fuiste Tú (feat. Gaby Moreno)</t>
  </si>
  <si>
    <t>Ricardo Arjona, Gaby Moreno</t>
  </si>
  <si>
    <t>Independiente + Demos</t>
  </si>
  <si>
    <t>2011</t>
  </si>
  <si>
    <t>Me Dediqué a Perderte</t>
  </si>
  <si>
    <t>Alejandro Fernández</t>
  </si>
  <si>
    <t>A Corazón Abierto</t>
  </si>
  <si>
    <t>2004-09-01</t>
  </si>
  <si>
    <t>Tú de Qué Vas</t>
  </si>
  <si>
    <t>Franco De Vita</t>
  </si>
  <si>
    <t>Stop</t>
  </si>
  <si>
    <t>2004-04-28</t>
  </si>
  <si>
    <t>Tu Recuerdo (feat. Chambao &amp; Tommy Torres) - MTV Unplugged Version</t>
  </si>
  <si>
    <t>Ricky Martin, Chambao, Tommy Torres</t>
  </si>
  <si>
    <t>Ricky Martin MTV Unplugged</t>
  </si>
  <si>
    <t>2006-10-13</t>
  </si>
  <si>
    <t>Si la Ves (feat. Sin Bandera)</t>
  </si>
  <si>
    <t>Franco De Vita, Sin Bandera</t>
  </si>
  <si>
    <t>Mientes Tan Bien</t>
  </si>
  <si>
    <t>De Viaje</t>
  </si>
  <si>
    <t>2003-10-01</t>
  </si>
  <si>
    <t>Amores extraños - Versión 2001</t>
  </si>
  <si>
    <t>Laura Pausini</t>
  </si>
  <si>
    <t>Lo mejor de Laura Pausini - Volveré junto a ti</t>
  </si>
  <si>
    <t>2001-10-08</t>
  </si>
  <si>
    <t>Pingüinos en la Cama</t>
  </si>
  <si>
    <t>Adentro</t>
  </si>
  <si>
    <t>2005</t>
  </si>
  <si>
    <t>Te Extraño, Te Olvido, Te Amo</t>
  </si>
  <si>
    <t>A Medio Vivir</t>
  </si>
  <si>
    <t>1995-09-12</t>
  </si>
  <si>
    <t>Si Tú No Estás</t>
  </si>
  <si>
    <t>Pasado</t>
  </si>
  <si>
    <t>2006</t>
  </si>
  <si>
    <t>El Amor De Mi Vida</t>
  </si>
  <si>
    <t>17</t>
  </si>
  <si>
    <t>2011-02-23</t>
  </si>
  <si>
    <t>Lo nuestro - Acústico</t>
  </si>
  <si>
    <t>Por Amarte</t>
  </si>
  <si>
    <t>1995-11-23</t>
  </si>
  <si>
    <t>Dejaría Todo</t>
  </si>
  <si>
    <t>Atado a Tu Amor</t>
  </si>
  <si>
    <t>1998-09-29</t>
  </si>
  <si>
    <t>Por fin</t>
  </si>
  <si>
    <t>Terral (Version Française)</t>
  </si>
  <si>
    <t>2014</t>
  </si>
  <si>
    <t>Recuerdo</t>
  </si>
  <si>
    <t>Ricky Martin, Carla Morrison</t>
  </si>
  <si>
    <t>PAUSA</t>
  </si>
  <si>
    <t>2020-05-28</t>
  </si>
  <si>
    <t>La Chica de Humo</t>
  </si>
  <si>
    <t>Emmanuel</t>
  </si>
  <si>
    <t>Quisiera</t>
  </si>
  <si>
    <t>1989-03-19</t>
  </si>
  <si>
    <t>La Playa</t>
  </si>
  <si>
    <t>La Oreja de Van Gogh</t>
  </si>
  <si>
    <t>El Viaje de Copperpot</t>
  </si>
  <si>
    <t>2000-09-07</t>
  </si>
  <si>
    <t>A Que No Me Dejas</t>
  </si>
  <si>
    <t>Alejandro Sanz, Alejandro Fernández</t>
  </si>
  <si>
    <t>2015-07-10</t>
  </si>
  <si>
    <t>Víveme (with Alejandro Sanz 2013)</t>
  </si>
  <si>
    <t>Laura Pausini, Alejandro Sanz</t>
  </si>
  <si>
    <t>20 Grandes Exitos (Latin America)</t>
  </si>
  <si>
    <t>2013-11-12</t>
  </si>
  <si>
    <t>Entre tú y mil mares (with Melendi)</t>
  </si>
  <si>
    <t>Laura Pausini, Melendi</t>
  </si>
  <si>
    <t>20 Grandes Exitos (New Edition 2014)</t>
  </si>
  <si>
    <t>Humanos a Marte</t>
  </si>
  <si>
    <t>En Todo Estaré (Deluxe Edition)</t>
  </si>
  <si>
    <t>2014-08-25</t>
  </si>
  <si>
    <t>Jueves</t>
  </si>
  <si>
    <t>A las Cinco en el Astoria</t>
  </si>
  <si>
    <t>2008-09-30</t>
  </si>
  <si>
    <t>Te Esperé</t>
  </si>
  <si>
    <t>Jesse &amp; Joy, Jesse</t>
  </si>
  <si>
    <t>Aire (Versión Día)</t>
  </si>
  <si>
    <t>2020-05-08</t>
  </si>
  <si>
    <t>Mi Persona Favorita</t>
  </si>
  <si>
    <t>Río Roma</t>
  </si>
  <si>
    <t>Otra Vida</t>
  </si>
  <si>
    <t>2014-03-18</t>
  </si>
  <si>
    <t>No soy una de esas (feat. Alejandro Sanz)</t>
  </si>
  <si>
    <t>Jesse &amp; Joy, Alejandro Sanz</t>
  </si>
  <si>
    <t>Niña</t>
  </si>
  <si>
    <t>Reik</t>
  </si>
  <si>
    <t>2005-05-24</t>
  </si>
  <si>
    <t>Rosas</t>
  </si>
  <si>
    <t>Lo Que Te Conte Mientras Te Hacias La Dormida</t>
  </si>
  <si>
    <t>2003</t>
  </si>
  <si>
    <t>Yo Quisiera</t>
  </si>
  <si>
    <t>Quién - Versión ambiental</t>
  </si>
  <si>
    <t>Hoy Tengo Ganas De Ti</t>
  </si>
  <si>
    <t>Alejandro Fernández, Christina Aguilera</t>
  </si>
  <si>
    <t>Confidencias</t>
  </si>
  <si>
    <t>2013-01-01</t>
  </si>
  <si>
    <t>Sin Conocerte</t>
  </si>
  <si>
    <t>Secuencia</t>
  </si>
  <si>
    <t>2006-11-14</t>
  </si>
  <si>
    <t>Dímelo</t>
  </si>
  <si>
    <t>Insomniac (Deluxe Edition)</t>
  </si>
  <si>
    <t>2007</t>
  </si>
  <si>
    <t>Te Conozco</t>
  </si>
  <si>
    <t>Sólo Para Mujeres</t>
  </si>
  <si>
    <t>2013-01-21</t>
  </si>
  <si>
    <t>Tan Sólo Tú (feat. Alejandra Guzmán) - Franco De Vita en Primera Fila</t>
  </si>
  <si>
    <t>Franco De Vita, Alejandra Guzman</t>
  </si>
  <si>
    <t>Franco De Vita En Primera Fila</t>
  </si>
  <si>
    <t>2011-05-30</t>
  </si>
  <si>
    <t>Abrázame</t>
  </si>
  <si>
    <t>Camila</t>
  </si>
  <si>
    <t>Todo Cambio</t>
  </si>
  <si>
    <t>La de la mala suerte (feat. Pablo Alborán)</t>
  </si>
  <si>
    <t>Jesse &amp; Joy, Pablo Alborán</t>
  </si>
  <si>
    <t>¿Con quién se queda el perro? (Spain Standard)</t>
  </si>
  <si>
    <t>2011-12-06</t>
  </si>
  <si>
    <t>Enamorado Por Primera Vez</t>
  </si>
  <si>
    <t>Vivir</t>
  </si>
  <si>
    <t>1997-01-21</t>
  </si>
  <si>
    <t>Ruleta Rusa</t>
  </si>
  <si>
    <t>Dicen Por Ahi</t>
  </si>
  <si>
    <t>Asignatura Pendiente</t>
  </si>
  <si>
    <t>Tu Respiración</t>
  </si>
  <si>
    <t>Esta Ausencia</t>
  </si>
  <si>
    <t>Bulería</t>
  </si>
  <si>
    <t>2004-01-01</t>
  </si>
  <si>
    <t>Llueve sobre mojado</t>
  </si>
  <si>
    <t>Pablo Alborán, Aitana, Álvaro De Luna</t>
  </si>
  <si>
    <t>2021-10-15</t>
  </si>
  <si>
    <t>Disparo al Corazón</t>
  </si>
  <si>
    <t>Dónde Están Corazón</t>
  </si>
  <si>
    <t>Greatest Hits</t>
  </si>
  <si>
    <t>2019-10-04</t>
  </si>
  <si>
    <t>Esperanza</t>
  </si>
  <si>
    <t>1998</t>
  </si>
  <si>
    <t>Desde el Principio</t>
  </si>
  <si>
    <t>Libre</t>
  </si>
  <si>
    <t>2016-10-14</t>
  </si>
  <si>
    <t>Vuelvo a Verte (with Pablo Alborán)</t>
  </si>
  <si>
    <t>Malú, Pablo Alborán</t>
  </si>
  <si>
    <t>Dual</t>
  </si>
  <si>
    <t>2012-11-19</t>
  </si>
  <si>
    <t>Mentiroso</t>
  </si>
  <si>
    <t>Blanco y Negro</t>
  </si>
  <si>
    <t>Guerra Fria</t>
  </si>
  <si>
    <t>2010-05-08</t>
  </si>
  <si>
    <t>Ahora Tu</t>
  </si>
  <si>
    <t>Esencial Malú</t>
  </si>
  <si>
    <t>2013-07-23</t>
  </si>
  <si>
    <t>Desprevenida</t>
  </si>
  <si>
    <t>Que Quieres De Mi</t>
  </si>
  <si>
    <t>Luis Fonsi</t>
  </si>
  <si>
    <t>8 (Deluxe)</t>
  </si>
  <si>
    <t>2014-01-01</t>
  </si>
  <si>
    <t>Imagíname Sin Ti</t>
  </si>
  <si>
    <t>Exitos: 98:06 (Bonus Version)</t>
  </si>
  <si>
    <t>2006-01-01</t>
  </si>
  <si>
    <t>Lo Mejor de Mi Vida Eres Tú (feat. Natalia Jiménez)</t>
  </si>
  <si>
    <t>Ricky Martin, Natalia Jiménez</t>
  </si>
  <si>
    <t>Más Música + Alma + Sexo</t>
  </si>
  <si>
    <t>2011-11-15</t>
  </si>
  <si>
    <t>Quizás</t>
  </si>
  <si>
    <t>2002-01-01</t>
  </si>
  <si>
    <t>Soy capaz</t>
  </si>
  <si>
    <t>2021-11-12</t>
  </si>
  <si>
    <t>Lejos Conmigo</t>
  </si>
  <si>
    <t>Greeicy, Alejandro Sanz</t>
  </si>
  <si>
    <t>Y SOY REBELDE!</t>
  </si>
  <si>
    <t>Escucha a tu corazón</t>
  </si>
  <si>
    <t>Aprendiz</t>
  </si>
  <si>
    <t>1998-07-12</t>
  </si>
  <si>
    <t>Secreto a Voces</t>
  </si>
  <si>
    <t>Mil Batallas</t>
  </si>
  <si>
    <t>2021-10-22</t>
  </si>
  <si>
    <t>Dos Veces</t>
  </si>
  <si>
    <t>David Bisbal, Luis Fonsi</t>
  </si>
  <si>
    <t>2021-06-23</t>
  </si>
  <si>
    <t>Noviembre Sin Ti</t>
  </si>
  <si>
    <t>En Tus Planes</t>
  </si>
  <si>
    <t>2020-01-02</t>
  </si>
  <si>
    <t>Se Busca</t>
  </si>
  <si>
    <t>2021-10-14</t>
  </si>
  <si>
    <t>Nada Es Para Siempre</t>
  </si>
  <si>
    <t>Paso A Paso</t>
  </si>
  <si>
    <t>2005-01-01</t>
  </si>
  <si>
    <t>Perdón</t>
  </si>
  <si>
    <t>David Bisbal, Greeicy</t>
  </si>
  <si>
    <t>Y, ¿Si Fuera Ella? - + Es +</t>
  </si>
  <si>
    <t>Pablo Alborán, David Bisbal, Antonio Carmona, Manuel Carrasco, Jesse &amp; Joy, Juanes, Pablo López, Malú, Vanesa Martín, India Martinez, Antonio Orozco, Niña Pastori, Laura Pausini, Abel Pintos, Rozalén, Shakira, Tommy Torres</t>
  </si>
  <si>
    <t>Y, ¿Si Fuera Ella? (+ Es +)</t>
  </si>
  <si>
    <t>2017-05-19</t>
  </si>
  <si>
    <t>Nuestra Balada</t>
  </si>
  <si>
    <t>2021-11-05</t>
  </si>
  <si>
    <t>A Contracorriente</t>
  </si>
  <si>
    <t>Alvaro Soler, David Bisbal</t>
  </si>
  <si>
    <t>2022-01-14</t>
  </si>
  <si>
    <t>El Amor</t>
  </si>
  <si>
    <t>La Rosa</t>
  </si>
  <si>
    <t>Alejandro Sanz, Paco de Lucía</t>
  </si>
  <si>
    <t>Sanz</t>
  </si>
  <si>
    <t>2021-12-09</t>
  </si>
  <si>
    <t>Cuidar Nuestro Amor</t>
  </si>
  <si>
    <t>Premonición</t>
  </si>
  <si>
    <t>Se Me Va La Voz</t>
  </si>
  <si>
    <t>Dos Mundos - Evolución</t>
  </si>
  <si>
    <t>2009-01-01</t>
  </si>
  <si>
    <t>Lo Juro por Dios</t>
  </si>
  <si>
    <t>Carlos Rivera</t>
  </si>
  <si>
    <t>Esperanza Mía (Banda Original de Sonido)</t>
  </si>
  <si>
    <t>2015-05-21</t>
  </si>
  <si>
    <t>Muñeca Cruel</t>
  </si>
  <si>
    <t>Seré</t>
  </si>
  <si>
    <t>Luciano Pereyra</t>
  </si>
  <si>
    <t>Tu Mano</t>
  </si>
  <si>
    <t>2015-08-07</t>
  </si>
  <si>
    <t>Capitán Tapón</t>
  </si>
  <si>
    <t>Alejandro Sanz</t>
  </si>
  <si>
    <t>Sirope</t>
  </si>
  <si>
    <t>2015-05-04</t>
  </si>
  <si>
    <t>Toda</t>
  </si>
  <si>
    <t>Esta Vez</t>
  </si>
  <si>
    <t>2001-05-14</t>
  </si>
  <si>
    <t>Amigo (with Melendi)</t>
  </si>
  <si>
    <t>Malú, Melendi</t>
  </si>
  <si>
    <t>Escapar</t>
  </si>
  <si>
    <t>Escape</t>
  </si>
  <si>
    <t>2001-01-01</t>
  </si>
  <si>
    <t>24 Horas - Versión Balada</t>
  </si>
  <si>
    <t>24 Horas</t>
  </si>
  <si>
    <t>2010-01-01</t>
  </si>
  <si>
    <t>Yo Te Voy A Amar - Spanish Radio Edit</t>
  </si>
  <si>
    <t>*NSYNC</t>
  </si>
  <si>
    <t>Cómo Duele</t>
  </si>
  <si>
    <t>5to Piso</t>
  </si>
  <si>
    <t>2008</t>
  </si>
  <si>
    <t>Esclavo De Sus Besos</t>
  </si>
  <si>
    <t>Sin Mirar Atrás</t>
  </si>
  <si>
    <t>Sé Que Te Duele</t>
  </si>
  <si>
    <t>Alejandro Fernández, Morat</t>
  </si>
  <si>
    <t>Rompiendo Fronteras</t>
  </si>
  <si>
    <t>2017-01-13</t>
  </si>
  <si>
    <t>Completamente Enamorados</t>
  </si>
  <si>
    <t>Grandes Exitos</t>
  </si>
  <si>
    <t>2002</t>
  </si>
  <si>
    <t>Yo Te Amo</t>
  </si>
  <si>
    <t>Caja</t>
  </si>
  <si>
    <t>2022-01-20</t>
  </si>
  <si>
    <t>Ayer</t>
  </si>
  <si>
    <t>Euphoria</t>
  </si>
  <si>
    <t>2010</t>
  </si>
  <si>
    <t>A Veces Bien Y A Veces Mal</t>
  </si>
  <si>
    <t>Ricky Martin, Reik</t>
  </si>
  <si>
    <t>2022-04-14</t>
  </si>
  <si>
    <t>Deshielo</t>
  </si>
  <si>
    <t>¿Quién Te Dijo Eso?</t>
  </si>
  <si>
    <t>Abrazar La Vida</t>
  </si>
  <si>
    <t>2003-01-01</t>
  </si>
  <si>
    <t>Aqui Estoy Yo</t>
  </si>
  <si>
    <t>Luis Fonsi, Aleks Syntek, Noel Schajris, David Bisbal</t>
  </si>
  <si>
    <t>Palabras Del Silencio (Edición Aniversario - Un Año Despues)</t>
  </si>
  <si>
    <t>Se Nos Rompió El Amor</t>
  </si>
  <si>
    <t>2022-04-21</t>
  </si>
  <si>
    <t>Espacio en Tu Corazón</t>
  </si>
  <si>
    <t>2022-03-28</t>
  </si>
  <si>
    <t>Cuándo - Versión Pop</t>
  </si>
  <si>
    <t>Galeria Caribe</t>
  </si>
  <si>
    <t>2000</t>
  </si>
  <si>
    <t>No Amanece</t>
  </si>
  <si>
    <t>Tú Y Yo</t>
  </si>
  <si>
    <t>El Ruido</t>
  </si>
  <si>
    <t>Para Enamorarte De Mí</t>
  </si>
  <si>
    <t>Me Derrumbo</t>
  </si>
  <si>
    <t>David Bisbal (International Version)</t>
  </si>
  <si>
    <t>Lo Mejor De David Bisbal</t>
  </si>
  <si>
    <t>Si Tú Te Vas</t>
  </si>
  <si>
    <t>Tú Me Delatas</t>
  </si>
  <si>
    <t>2022-07-14</t>
  </si>
  <si>
    <t>Vete</t>
  </si>
  <si>
    <t>Lo Tenga O No</t>
  </si>
  <si>
    <t>Sebastian Yatra, Pablo Alborán</t>
  </si>
  <si>
    <t>2022-07-21</t>
  </si>
  <si>
    <t>Viaje a ningún lado (con Carin Leon)</t>
  </si>
  <si>
    <t>Pablo Alborán, Carín León</t>
  </si>
  <si>
    <t>2022-10-14</t>
  </si>
  <si>
    <t>Amigos (con Maria Becerra)</t>
  </si>
  <si>
    <t>Pablo Alborán, Maria Becerra</t>
  </si>
  <si>
    <t>2022-11-10</t>
  </si>
  <si>
    <t>4U (con Leo Rizzi)</t>
  </si>
  <si>
    <t>Pablo Alborán, Leo Rizzi</t>
  </si>
  <si>
    <t>La cuarta hoja</t>
  </si>
  <si>
    <t>2022-12-01</t>
  </si>
  <si>
    <t>Ausente</t>
  </si>
  <si>
    <t>2023-08-31</t>
  </si>
  <si>
    <t>Tengo Roto El Corazón</t>
  </si>
  <si>
    <t>🦋 MARIPOSAS 🦋</t>
  </si>
  <si>
    <t>Marc Seguí, Pablo Alborán</t>
  </si>
  <si>
    <t>Amo</t>
  </si>
  <si>
    <t>Axel</t>
  </si>
  <si>
    <t>2003-01-16</t>
  </si>
  <si>
    <t>Te Voy A Amar</t>
  </si>
  <si>
    <t>Un Nuevo Sol (Versión Standard)</t>
  </si>
  <si>
    <t>2011-01-01</t>
  </si>
  <si>
    <t>Me Cambiaste la Vida</t>
  </si>
  <si>
    <t>Al Fin Te Encontré</t>
  </si>
  <si>
    <t>2012-07-24</t>
  </si>
  <si>
    <t>Amar Es Lo Que Quiero</t>
  </si>
  <si>
    <t>Sabrás</t>
  </si>
  <si>
    <t>Quién Me Iba A Decir</t>
  </si>
  <si>
    <t>Besos De Tu Boca</t>
  </si>
  <si>
    <t>Cuando Hacemos El Amor</t>
  </si>
  <si>
    <t>Sueños Rotos</t>
  </si>
  <si>
    <t>Somos dos - De "Elemental"</t>
  </si>
  <si>
    <t>Somos dos (De "Elemental")</t>
  </si>
  <si>
    <t>2023-06-30</t>
  </si>
  <si>
    <t>Angel Caido</t>
  </si>
  <si>
    <t>Si</t>
  </si>
  <si>
    <t>2013-10-14</t>
  </si>
  <si>
    <t>Me Enamoré De Ti</t>
  </si>
  <si>
    <t>2016-01-29</t>
  </si>
  <si>
    <t>Diez Mil Maneras</t>
  </si>
  <si>
    <t>Todos los Secretos</t>
  </si>
  <si>
    <t>A TODO SÍ</t>
  </si>
  <si>
    <t>2023-12-08</t>
  </si>
  <si>
    <t>El Apagón</t>
  </si>
  <si>
    <t>Quién - Acústico 2022</t>
  </si>
  <si>
    <t>La cuarta hoja (Extended Version)</t>
  </si>
  <si>
    <t>2023-01-31</t>
  </si>
  <si>
    <t>Que siempre sea verano - Acústico 2022</t>
  </si>
  <si>
    <t>La fiesta - Acústico 2022</t>
  </si>
  <si>
    <t>Dicen - Acústico 2022</t>
  </si>
  <si>
    <t>Hablemos de amor - Acústico 2022</t>
  </si>
  <si>
    <t>Fecha de Caducidad</t>
  </si>
  <si>
    <t>Melendi</t>
  </si>
  <si>
    <t>2026-02-27</t>
  </si>
  <si>
    <t>No Me Des la Tabarra</t>
  </si>
  <si>
    <t>2026-03-27</t>
  </si>
  <si>
    <t>Mentiras Arriesgadas</t>
  </si>
  <si>
    <t>2026-04-24</t>
  </si>
  <si>
    <t>Tocado y hundido</t>
  </si>
  <si>
    <t>Un alumno más</t>
  </si>
  <si>
    <t>2014-11-25</t>
  </si>
  <si>
    <t>Habitantes de un Mismo Planeta</t>
  </si>
  <si>
    <t>Ahora</t>
  </si>
  <si>
    <t>2018-03-09</t>
  </si>
  <si>
    <t>Una Noche Para Siempre</t>
  </si>
  <si>
    <t>10:20:40</t>
  </si>
  <si>
    <t>2019-11-29</t>
  </si>
  <si>
    <t>Adiós Soledad</t>
  </si>
  <si>
    <t>Hace Falta un Milagro</t>
  </si>
  <si>
    <t>89 Grados Fahrenheit</t>
  </si>
  <si>
    <t>Tiempos de Re-Evolución</t>
  </si>
  <si>
    <t>Negro Sin Ti</t>
  </si>
  <si>
    <t>La Dama y el Vagabundo</t>
  </si>
  <si>
    <t>Yo me veo contigo</t>
  </si>
  <si>
    <t>2017-12-08</t>
  </si>
  <si>
    <t>Eres mía</t>
  </si>
  <si>
    <t>Alejandro Sanz 3</t>
  </si>
  <si>
    <t>1995-09-26</t>
  </si>
  <si>
    <t>Toca para mí</t>
  </si>
  <si>
    <t>Viviendo deprisa</t>
  </si>
  <si>
    <t>1991-08-20</t>
  </si>
  <si>
    <t>Quiero morir en tu veneno</t>
  </si>
  <si>
    <t>El escaparate</t>
  </si>
  <si>
    <t>Si Tu Me Miras</t>
  </si>
  <si>
    <t>1993-05-14</t>
  </si>
  <si>
    <t>Es este amor</t>
  </si>
  <si>
    <t>Llega, llegó soledad</t>
  </si>
  <si>
    <t>El alma al aire: 20 Aniversario</t>
  </si>
  <si>
    <t>2000-09-26</t>
  </si>
  <si>
    <t>Un Amor Tan Grande</t>
  </si>
  <si>
    <t>Quítate las Gafas</t>
  </si>
  <si>
    <t>2016-11-11</t>
  </si>
  <si>
    <t>Existen los ángeles</t>
  </si>
  <si>
    <t>Mírame</t>
  </si>
  <si>
    <t>No te olvidaré</t>
  </si>
  <si>
    <t>Pablo Alboran (Deluxe)</t>
  </si>
  <si>
    <t>2011-02-01</t>
  </si>
  <si>
    <t>Vértigo</t>
  </si>
  <si>
    <t>2020-12-11</t>
  </si>
  <si>
    <t>De carne y hueso</t>
  </si>
  <si>
    <t>Septiembre</t>
  </si>
  <si>
    <t>El amor es un arte</t>
  </si>
  <si>
    <t>Yo no lo sabía</t>
  </si>
  <si>
    <t>La promesa</t>
  </si>
  <si>
    <t>No está en tus planes</t>
  </si>
  <si>
    <t>Tu jardín con enanitos</t>
  </si>
  <si>
    <t>Lágrimas desordenadas</t>
  </si>
  <si>
    <t>2012-11-13</t>
  </si>
  <si>
    <t>Soy Tu Superhéroe</t>
  </si>
  <si>
    <t>La Chica Perfecta</t>
  </si>
  <si>
    <t>Un violinista en tu tejado</t>
  </si>
  <si>
    <t>Curiosa La Cara De Tu Padre</t>
  </si>
  <si>
    <t>2008-09-16</t>
  </si>
  <si>
    <t>Posdata</t>
  </si>
  <si>
    <t>Cuando te alejas</t>
  </si>
  <si>
    <t>Lo Que Nos Merecemos</t>
  </si>
  <si>
    <t>Loco de atar</t>
  </si>
  <si>
    <t>Deshidratándome</t>
  </si>
  <si>
    <t>Ahogándome tu adiós</t>
  </si>
  <si>
    <t>2014-11-10</t>
  </si>
  <si>
    <t>El olvido</t>
  </si>
  <si>
    <t>Pasos de cero</t>
  </si>
  <si>
    <t>Éxtasis - Radio Edit</t>
  </si>
  <si>
    <t>Al paraíso</t>
  </si>
  <si>
    <t>Cuerda al corazón</t>
  </si>
  <si>
    <t>Corazón descalzo</t>
  </si>
  <si>
    <t>El vendaval</t>
  </si>
  <si>
    <t>Gracias</t>
  </si>
  <si>
    <t>Te he echado de menos - Radio Edit</t>
  </si>
  <si>
    <t>Volver a empezar</t>
  </si>
  <si>
    <t>Cheque al portamor</t>
  </si>
  <si>
    <t>Vuelve conmigo</t>
  </si>
  <si>
    <t>Volvería</t>
  </si>
  <si>
    <t>El beso</t>
  </si>
  <si>
    <t>Por amarte tanto</t>
  </si>
  <si>
    <t>Mientras No Cueste Trabajo</t>
  </si>
  <si>
    <t>2006-11-13</t>
  </si>
  <si>
    <t>No Me Compares</t>
  </si>
  <si>
    <t>La Música No Se Toca (Deluxe)</t>
  </si>
  <si>
    <t>2012-01-01</t>
  </si>
  <si>
    <t>Cuando nadie me ve</t>
  </si>
  <si>
    <t>Coleccion definitiva (Deluxe)</t>
  </si>
  <si>
    <t>2011-11-11</t>
  </si>
  <si>
    <t>La fuerza del corazón</t>
  </si>
  <si>
    <t>Coleccion definitiva</t>
  </si>
  <si>
    <t>Con Tu Amor Es Suficiente</t>
  </si>
  <si>
    <t>Que El Cielo Espere Sentao..</t>
  </si>
  <si>
    <t>Lo Nuestro Fue Muy Top</t>
  </si>
  <si>
    <t>La llave</t>
  </si>
  <si>
    <t>2017-10-19</t>
  </si>
  <si>
    <t>Despídete</t>
  </si>
  <si>
    <t>Me iré</t>
  </si>
  <si>
    <t>Ecos - En directo</t>
  </si>
  <si>
    <t>Tour Terral (Tres noches en Las Ventas)</t>
  </si>
  <si>
    <t>2015-11-06</t>
  </si>
  <si>
    <t>Soy capaz - Versión Acústica</t>
  </si>
  <si>
    <t>Mares De Miel</t>
  </si>
  <si>
    <t>La Boca Junta</t>
  </si>
  <si>
    <t>Melendi, Mau y Ricky</t>
  </si>
  <si>
    <t>2021-07-29</t>
  </si>
  <si>
    <t>El Único Habitante de tu Piel</t>
  </si>
  <si>
    <t>Melendi, Carlos Rivera</t>
  </si>
  <si>
    <t>Likes y Cicatrices</t>
  </si>
  <si>
    <t>Un buen amor</t>
  </si>
  <si>
    <t>Se le apagó la luz</t>
  </si>
  <si>
    <t>MTV Unplugged</t>
  </si>
  <si>
    <t>2001-11-19</t>
  </si>
  <si>
    <t>Lo que fui es lo que soy</t>
  </si>
  <si>
    <t>La Mudanza (feat. Pablo Alborán)</t>
  </si>
  <si>
    <t>Niña Pastori, Pablo Alborán</t>
  </si>
  <si>
    <t>Bajo Tus Alas</t>
  </si>
  <si>
    <t>2018-04-27</t>
  </si>
  <si>
    <t>Solamente tú</t>
  </si>
  <si>
    <t>Se puede amar</t>
  </si>
  <si>
    <t>2016-04-22</t>
  </si>
  <si>
    <t>Tabú - Versión piano y voz</t>
  </si>
  <si>
    <t>Tabú EP</t>
  </si>
  <si>
    <t>2020-01-24</t>
  </si>
  <si>
    <t>Déjala Que Baile (with Alejandro Sanz &amp; Arkano)</t>
  </si>
  <si>
    <t>Melendi, Alejandro Sanz, Arkano</t>
  </si>
  <si>
    <t>Y Ya Te Quería</t>
  </si>
  <si>
    <t>Yo No Quiero Suerte</t>
  </si>
  <si>
    <t>Castillos de arena</t>
  </si>
  <si>
    <t>La Música No Se Toca</t>
  </si>
  <si>
    <t>Kisiera yo saber</t>
  </si>
  <si>
    <t>Calle la Pantomima</t>
  </si>
  <si>
    <t>Camino De Rosas</t>
  </si>
  <si>
    <t>Mi soledad y yo</t>
  </si>
  <si>
    <t>Quisiera ser</t>
  </si>
  <si>
    <t>Pisando fuerte</t>
  </si>
  <si>
    <t>Tú de Elvis yo de Marilyn</t>
  </si>
  <si>
    <t>Aquello que me diste</t>
  </si>
  <si>
    <t>Más</t>
  </si>
  <si>
    <t>1997</t>
  </si>
  <si>
    <t>No es lo mismo</t>
  </si>
  <si>
    <t>Desde Que Estamos Juntos</t>
  </si>
  <si>
    <t>Sin Remitente</t>
  </si>
  <si>
    <t>Con sólo una sonrisa</t>
  </si>
  <si>
    <t>La Casa No Es Igual</t>
  </si>
  <si>
    <t>Autofotos</t>
  </si>
  <si>
    <t>Caminando por la vida</t>
  </si>
  <si>
    <t>Desde cuando</t>
  </si>
  <si>
    <t>Un Zombie A La Intemperie</t>
  </si>
  <si>
    <t>¿Lo ves?</t>
  </si>
  <si>
    <t>Se me olvidó todo al verte</t>
  </si>
  <si>
    <t>Me colé por la puerta de atrás</t>
  </si>
  <si>
    <t>Palmeras en la nieve</t>
  </si>
  <si>
    <t>No Sé Qué Me Pasas</t>
  </si>
  <si>
    <t>Iba</t>
  </si>
  <si>
    <t>El Arrepentido</t>
  </si>
  <si>
    <t>Melendi, Carlos Vives</t>
  </si>
  <si>
    <t>Para Que No Se Escapen Tus Mariposas</t>
  </si>
  <si>
    <t>Cuando estés aquí</t>
  </si>
  <si>
    <t>2020-04-13</t>
  </si>
  <si>
    <t>Idiota</t>
  </si>
  <si>
    <t>Prometo</t>
  </si>
  <si>
    <t>2017-06-01</t>
  </si>
  <si>
    <t>Novia a la fuga</t>
  </si>
  <si>
    <t>No Tengo Nada</t>
  </si>
  <si>
    <t>#ELDISCO</t>
  </si>
  <si>
    <t>2019-04-04</t>
  </si>
  <si>
    <t>Azúcar En Un Bowl</t>
  </si>
  <si>
    <t>Está permitido</t>
  </si>
  <si>
    <t>Si tú me miras</t>
  </si>
  <si>
    <t>Corazón partío</t>
  </si>
  <si>
    <t>Los dos cogidos de la mano</t>
  </si>
  <si>
    <t>Basico</t>
  </si>
  <si>
    <t>1994-11-18</t>
  </si>
  <si>
    <t>El Trato</t>
  </si>
  <si>
    <t>Si Yo Quisiera Y Si Tú Pudieras</t>
  </si>
  <si>
    <t>Cenizas en la eternidad</t>
  </si>
  <si>
    <t>La religión de los idiotas</t>
  </si>
  <si>
    <t>Casi</t>
  </si>
  <si>
    <t>2019-11-01</t>
  </si>
  <si>
    <t>Billy El Pistolero</t>
  </si>
  <si>
    <t>Barbie de extrarradio</t>
  </si>
  <si>
    <t>Volvamos a empezar (Deluxe edition)</t>
  </si>
  <si>
    <t>2010-10-29</t>
  </si>
  <si>
    <t>Carretera y manta</t>
  </si>
  <si>
    <t>2022-07-15</t>
  </si>
  <si>
    <t>El alma al aire</t>
  </si>
  <si>
    <t>Mi Marciana</t>
  </si>
  <si>
    <t>Canción sin emoción</t>
  </si>
  <si>
    <t>Donde está el amor</t>
  </si>
  <si>
    <t>Saturno</t>
  </si>
  <si>
    <t>Toda la noche</t>
  </si>
  <si>
    <t>En brazos de ella</t>
  </si>
  <si>
    <t>Miedo</t>
  </si>
  <si>
    <t>Caramelo</t>
  </si>
  <si>
    <t>Desencuentro</t>
  </si>
  <si>
    <t>La escalera</t>
  </si>
  <si>
    <t>Ave de paso (con Ana Mena)</t>
  </si>
  <si>
    <t>Pablo Alborán, Ana Mena</t>
  </si>
  <si>
    <t>Voraces</t>
  </si>
  <si>
    <t>El traje</t>
  </si>
  <si>
    <t>A batir las alas</t>
  </si>
  <si>
    <t>Qué Más Puede Salir Mal</t>
  </si>
  <si>
    <t>Aún Más Curiosa La Cara De Tu Padre</t>
  </si>
  <si>
    <t>2009-03-24</t>
  </si>
  <si>
    <t>Y sólo se me ocurre amarte</t>
  </si>
  <si>
    <t>Mi Código Postal</t>
  </si>
  <si>
    <t>Tan Tonto Como Tú</t>
  </si>
  <si>
    <t>Amiga mía</t>
  </si>
  <si>
    <t>Mi primera canción</t>
  </si>
  <si>
    <t>Nuestro amor será leyenda</t>
  </si>
  <si>
    <t>Enséñame tus manos</t>
  </si>
  <si>
    <t>Tú no tienes alma</t>
  </si>
  <si>
    <t>Sin que se note</t>
  </si>
  <si>
    <t>Para que me quieras</t>
  </si>
  <si>
    <t>Tiene que ser pecado</t>
  </si>
  <si>
    <t>Hay un universo de pequeñas cosas</t>
  </si>
  <si>
    <t>Cómo te echo de menos</t>
  </si>
  <si>
    <t>A golpes contra el calendario</t>
  </si>
  <si>
    <t>Qué no te daría yo</t>
  </si>
  <si>
    <t>Canción de amor caducada</t>
  </si>
  <si>
    <t>Gracias Por Venir</t>
  </si>
  <si>
    <t>2023-02-11</t>
  </si>
  <si>
    <t>De pequeño fue el coco</t>
  </si>
  <si>
    <t>Besos a la Lona</t>
  </si>
  <si>
    <t>Colgado de la vecina</t>
  </si>
  <si>
    <t>Como una vela</t>
  </si>
  <si>
    <t>Al Otro Lado del Pacífico</t>
  </si>
  <si>
    <t>Somos</t>
  </si>
  <si>
    <t>Correcaminos</t>
  </si>
  <si>
    <t>Alejandro Sanz, Danny Ocean</t>
  </si>
  <si>
    <t>2023-03-23</t>
  </si>
  <si>
    <t>Como el Agua y el Aceite</t>
  </si>
  <si>
    <t>Por fin - Acústico</t>
  </si>
  <si>
    <t>Loco</t>
  </si>
  <si>
    <t>Síndrome de Estocolmo</t>
  </si>
  <si>
    <t>Llueve</t>
  </si>
  <si>
    <t>Regálame la silla donde te esperé</t>
  </si>
  <si>
    <t>He sido tan feliz contigo</t>
  </si>
  <si>
    <t>Grandes exitos 1991-2004 (Edición especial)</t>
  </si>
  <si>
    <t>2004-09-23</t>
  </si>
  <si>
    <t>Seremos libres - Demo</t>
  </si>
  <si>
    <t>Canción de amor para olvidarte</t>
  </si>
  <si>
    <t>Quiero Ser Feliz</t>
  </si>
  <si>
    <t>Mientras No Cueste Más Trabajo</t>
  </si>
  <si>
    <t>2007-09-28</t>
  </si>
  <si>
    <t>El Ciego</t>
  </si>
  <si>
    <t>Melendi, Cali Y El Dandee</t>
  </si>
  <si>
    <t>2019-10-18</t>
  </si>
  <si>
    <t>Ni Error Ni Tontería</t>
  </si>
  <si>
    <t>Más allá de nuestros recuerdos</t>
  </si>
  <si>
    <t>El Invisible (feat. Melendi) - Versión Acústica</t>
  </si>
  <si>
    <t>Ricardo Arjona, Melendi</t>
  </si>
  <si>
    <t>Covers, Demos y Otras Travesuras de Blanco</t>
  </si>
  <si>
    <t>2021-02-12</t>
  </si>
  <si>
    <t>Con La Luna Llena</t>
  </si>
  <si>
    <t>Melendi, Manuel Carrasco</t>
  </si>
  <si>
    <t>2023-09-08</t>
  </si>
  <si>
    <t>El Nano</t>
  </si>
  <si>
    <t>2008-02-29</t>
  </si>
  <si>
    <t>De bar en peor</t>
  </si>
  <si>
    <t>Violeta</t>
  </si>
  <si>
    <t>Me Sumerjo</t>
  </si>
  <si>
    <t>Corazón de peón</t>
  </si>
  <si>
    <t>Sé lo Que Hicisteis (feat. Natos y Waor)</t>
  </si>
  <si>
    <t>Melendi, Natos y Waor</t>
  </si>
  <si>
    <t>20 Años Sin Noticias</t>
  </si>
  <si>
    <t>2023-11-10</t>
  </si>
  <si>
    <t>La aceituna</t>
  </si>
  <si>
    <t>El parto</t>
  </si>
  <si>
    <t>Nena</t>
  </si>
  <si>
    <t>Bailo Con Vos</t>
  </si>
  <si>
    <t>Hablando En Plata</t>
  </si>
  <si>
    <t>Melendi, Hens</t>
  </si>
  <si>
    <t>Sin Noticias de Holanda</t>
  </si>
  <si>
    <t>Melendi, Funzo &amp; Baby Loud</t>
  </si>
  <si>
    <t>Un Recuerdo Que Olvidar</t>
  </si>
  <si>
    <t>Melendi, Taburete</t>
  </si>
  <si>
    <t>Mi Rumbita Pa´ Tus Pies</t>
  </si>
  <si>
    <t>Melendi, Pole.</t>
  </si>
  <si>
    <t>Vuelvo a Traficar</t>
  </si>
  <si>
    <t>Una Historia de Tantas</t>
  </si>
  <si>
    <t>Contando Primaveras - 2006 Remastered Version</t>
  </si>
  <si>
    <t>Sin Noticias De Holanda</t>
  </si>
  <si>
    <t>2006-07-14</t>
  </si>
  <si>
    <t>Arriba Extremoduro</t>
  </si>
  <si>
    <t>Palmeras en el jardín</t>
  </si>
  <si>
    <t>2024-10-25</t>
  </si>
  <si>
    <t>Tu letra podré acariciar - Acústica</t>
  </si>
  <si>
    <t>Si hay Dios...</t>
  </si>
  <si>
    <t>Curiosa la cara de tu padre</t>
  </si>
  <si>
    <t>Como Se Bailan Los Tangos</t>
  </si>
  <si>
    <t>Por Que tu No Eres Un Coche</t>
  </si>
  <si>
    <t>Piratas del bar Caribe</t>
  </si>
  <si>
    <t>A la primera persona</t>
  </si>
  <si>
    <t>Yo Te Traigo...20 Años</t>
  </si>
  <si>
    <t>Un charquito de estrellas</t>
  </si>
  <si>
    <t>Hice llorar hasta los ángeles</t>
  </si>
  <si>
    <t>Paraíso Express</t>
  </si>
  <si>
    <t>2009-11-10</t>
  </si>
  <si>
    <t>Se Vende</t>
  </si>
  <si>
    <t>A Mí No Me Importa</t>
  </si>
  <si>
    <t>Duelo al amanecer</t>
  </si>
  <si>
    <t>Los Premios Pinocho</t>
  </si>
  <si>
    <t>Volvamos a empezar</t>
  </si>
  <si>
    <t>Perdóname ángel</t>
  </si>
  <si>
    <t>Aprendiz de caballero</t>
  </si>
  <si>
    <t>Firmes - Remastered</t>
  </si>
  <si>
    <t>Zoociedad</t>
  </si>
  <si>
    <t>Vampiresa</t>
  </si>
  <si>
    <t>Cannabis</t>
  </si>
  <si>
    <t>Hoy no me siento bien</t>
  </si>
  <si>
    <t>Alejandro Sanz, Grupo Frontera</t>
  </si>
  <si>
    <t>2025-01-24</t>
  </si>
  <si>
    <t>CLICKBAIT</t>
  </si>
  <si>
    <t>2025-03-26</t>
  </si>
  <si>
    <t>Moratalá - 2006 Remastered Version</t>
  </si>
  <si>
    <t>Completamente loca</t>
  </si>
  <si>
    <t>Todo sigue igual</t>
  </si>
  <si>
    <t>Pero esta tarde no te vas</t>
  </si>
  <si>
    <t>Gangs Of London</t>
  </si>
  <si>
    <t>El vino de tu boca</t>
  </si>
  <si>
    <t>¿Y ahora qué?</t>
  </si>
  <si>
    <t>2025-05-23</t>
  </si>
  <si>
    <t>Eso es amor</t>
  </si>
  <si>
    <t>Cómo sería</t>
  </si>
  <si>
    <t>Alejandro Sanz, Manuel Turizo</t>
  </si>
  <si>
    <t>2025-05-22</t>
  </si>
  <si>
    <t>Quién</t>
  </si>
  <si>
    <t>La fiesta</t>
  </si>
  <si>
    <t>Dicen</t>
  </si>
  <si>
    <t>Hablemos de amor</t>
  </si>
  <si>
    <t>Que siempre sea verano</t>
  </si>
  <si>
    <t>Boca de hule</t>
  </si>
  <si>
    <t>Hijos del Mal</t>
  </si>
  <si>
    <t>Flores de Agua y Plomo</t>
  </si>
  <si>
    <t>El tiempo que gasto</t>
  </si>
  <si>
    <t>El rey de la baraja</t>
  </si>
  <si>
    <t>Ni pa la pipa la sal</t>
  </si>
  <si>
    <t>Y, ¿Si fuera ella?</t>
  </si>
  <si>
    <t>KM0 - Versión piano y voz</t>
  </si>
  <si>
    <t>KM0 (Versión piano y voz)</t>
  </si>
  <si>
    <t>2025-06-27</t>
  </si>
  <si>
    <t>Si hubieras querido</t>
  </si>
  <si>
    <t>2020-09-24</t>
  </si>
  <si>
    <t>Tanto</t>
  </si>
  <si>
    <t>Recuérdame</t>
  </si>
  <si>
    <t>2017-11-17</t>
  </si>
  <si>
    <t>Tu refugio</t>
  </si>
  <si>
    <t>Curo tus labios</t>
  </si>
  <si>
    <t>Lo nuestro</t>
  </si>
  <si>
    <t>Como Dijo El Rey</t>
  </si>
  <si>
    <t>Con Tanto Héroe</t>
  </si>
  <si>
    <t>Cuestión de Prioridades</t>
  </si>
  <si>
    <t>Que el cielo espere sentao</t>
  </si>
  <si>
    <t>Vámonos de aquí</t>
  </si>
  <si>
    <t>Pablo Alborán, Indiara Sfair</t>
  </si>
  <si>
    <t>2025-08-29</t>
  </si>
  <si>
    <t>Mis 36</t>
  </si>
  <si>
    <t>2025-09-23</t>
  </si>
  <si>
    <t>¿Qué tal te va? (feat. Luan Santana) - Versión en portugués</t>
  </si>
  <si>
    <t>Pablo Alborán, Luan Santana</t>
  </si>
  <si>
    <t>¿Qué tal te va? (feat. Luan Santana)</t>
  </si>
  <si>
    <t>2025-10-02</t>
  </si>
  <si>
    <t>Me quedo</t>
  </si>
  <si>
    <t>KM0</t>
  </si>
  <si>
    <t>2025-11-07</t>
  </si>
  <si>
    <t>Si quisieras</t>
  </si>
  <si>
    <t>Planta 7 (feat. Vicente Amigo)</t>
  </si>
  <si>
    <t>Pablo Alborán, Vicente Amigo</t>
  </si>
  <si>
    <t>La vida que nos espera</t>
  </si>
  <si>
    <t>Mi talón de aquiles</t>
  </si>
  <si>
    <t>Copiloto</t>
  </si>
  <si>
    <t>Te invito</t>
  </si>
  <si>
    <t>Inciso</t>
  </si>
  <si>
    <t>Perfectos imperfectos</t>
  </si>
  <si>
    <t>El Secreto De Las Tortugas (MN&amp;M Edition)</t>
  </si>
  <si>
    <t>Maldita Nerea, Melendi</t>
  </si>
  <si>
    <t>Entre la ropa sucia de Cupido</t>
  </si>
  <si>
    <t>Ese último momento</t>
  </si>
  <si>
    <t>Hoy que no estás</t>
  </si>
  <si>
    <t>Siempre es de noche</t>
  </si>
  <si>
    <t>La margarita dijo no</t>
  </si>
  <si>
    <t>Hoy llueve, hoy duele</t>
  </si>
  <si>
    <t>2003-06-06</t>
  </si>
  <si>
    <t>Looking for Paradise (feat. Alicia Keys)</t>
  </si>
  <si>
    <t>Alejandro Sanz, Alicia Keys</t>
  </si>
  <si>
    <t>Si Te Quedas (feat. Pablo Alborán)</t>
  </si>
  <si>
    <t>Carla Morrison, Pablo Alborán</t>
  </si>
  <si>
    <t>2025-12-04</t>
  </si>
  <si>
    <t>Quimera - En directo</t>
  </si>
  <si>
    <t>De repente desperté</t>
  </si>
  <si>
    <t>Las guapas</t>
  </si>
  <si>
    <t>¿Y ahora qué +?</t>
  </si>
  <si>
    <t>2025-11-21</t>
  </si>
  <si>
    <t>Algo de mí</t>
  </si>
  <si>
    <t>Una Historia De Dos</t>
  </si>
  <si>
    <t>La Mi Mozuca</t>
  </si>
  <si>
    <t>Melendi, Andy Clay</t>
  </si>
  <si>
    <t>2019-08-22</t>
  </si>
  <si>
    <t>Veneno y Arena</t>
  </si>
  <si>
    <t>Pop Rock</t>
  </si>
  <si>
    <t>2026-05-08</t>
  </si>
  <si>
    <t>La Única Puerta Abierta</t>
  </si>
  <si>
    <t>Llegar A Viejos</t>
  </si>
  <si>
    <t>El Peor De Tus Exnovios</t>
  </si>
  <si>
    <t>Yo A Boston Y Tú a Tijuana</t>
  </si>
  <si>
    <t>Se Fue Con el Guitarrista</t>
  </si>
  <si>
    <t>Lo Que Yo Obedezco</t>
  </si>
  <si>
    <t>Nunca Te Dejaré Solo</t>
  </si>
  <si>
    <t>Tiempos bonitos</t>
  </si>
  <si>
    <t>2026-07-10</t>
  </si>
  <si>
    <t>Eso</t>
  </si>
  <si>
    <t>El gordo y el narco</t>
  </si>
  <si>
    <t>Mi generación</t>
  </si>
  <si>
    <t>Hoy</t>
  </si>
  <si>
    <t>Un alumno más - En Directo</t>
  </si>
  <si>
    <t>Directo a Septiembre (Gira Un Alumno Más)</t>
  </si>
  <si>
    <t>Amigos de la crisis</t>
  </si>
  <si>
    <t>Tu lista de enemigos</t>
  </si>
  <si>
    <t>Lágrimas desordenadas (Deluxe)</t>
  </si>
  <si>
    <t>Gatos celestes</t>
  </si>
  <si>
    <t>Melancolemia</t>
  </si>
  <si>
    <t>Maldita Vida Loca</t>
  </si>
  <si>
    <t>Las Cosas Del Amor</t>
  </si>
  <si>
    <t>Total de canciones</t>
  </si>
  <si>
    <t>Total de artistas</t>
  </si>
  <si>
    <t>Total de álbumes</t>
  </si>
  <si>
    <t>Duración total</t>
  </si>
  <si>
    <t>Duración promedio</t>
  </si>
  <si>
    <t>Popularidad promedio</t>
  </si>
  <si>
    <t>Etiquetas de fila</t>
  </si>
  <si>
    <t>Total general</t>
  </si>
  <si>
    <t>Duración categoría</t>
  </si>
  <si>
    <t>4–5 min</t>
  </si>
  <si>
    <t>2–3 min</t>
  </si>
  <si>
    <t>3–4 min</t>
  </si>
  <si>
    <t>Más de 5 min</t>
  </si>
  <si>
    <t>Explicitas</t>
  </si>
  <si>
    <t>No explicitas</t>
  </si>
  <si>
    <t>% explícitas</t>
  </si>
  <si>
    <t>Categoría popularidad</t>
  </si>
  <si>
    <t>Alta</t>
  </si>
  <si>
    <t>Baja</t>
  </si>
  <si>
    <t>Muy baja</t>
  </si>
  <si>
    <t>Media</t>
  </si>
  <si>
    <t>Muy alta</t>
  </si>
  <si>
    <t>Artista Principal</t>
  </si>
  <si>
    <t>Maná</t>
  </si>
  <si>
    <t>Greeicy</t>
  </si>
  <si>
    <t>Alvaro Soler</t>
  </si>
  <si>
    <t>Sebastian Yatra</t>
  </si>
  <si>
    <t>Marc Seguí</t>
  </si>
  <si>
    <t>Niña Pastori</t>
  </si>
  <si>
    <t>Maldita Nerea</t>
  </si>
  <si>
    <t>Carla Morrison</t>
  </si>
  <si>
    <t>Cuenta de Artista Principal</t>
  </si>
  <si>
    <t>211.586</t>
  </si>
  <si>
    <t>258.519</t>
  </si>
  <si>
    <t>233.386</t>
  </si>
  <si>
    <t>243.68</t>
  </si>
  <si>
    <t>230.693</t>
  </si>
  <si>
    <t>208.146</t>
  </si>
  <si>
    <t>222.186</t>
  </si>
  <si>
    <t>220.453</t>
  </si>
  <si>
    <t>172.946</t>
  </si>
  <si>
    <t>286.24</t>
  </si>
  <si>
    <t>261.12</t>
  </si>
  <si>
    <t>254.4</t>
  </si>
  <si>
    <t>246.466</t>
  </si>
  <si>
    <t>265.88</t>
  </si>
  <si>
    <t>233.04</t>
  </si>
  <si>
    <t>236.975</t>
  </si>
  <si>
    <t>268.426</t>
  </si>
  <si>
    <t>203.56</t>
  </si>
  <si>
    <t>222.72</t>
  </si>
  <si>
    <t>276.413</t>
  </si>
  <si>
    <t>237.626</t>
  </si>
  <si>
    <t>235.72</t>
  </si>
  <si>
    <t>295.718</t>
  </si>
  <si>
    <t>196.813</t>
  </si>
  <si>
    <t>189.146</t>
  </si>
  <si>
    <t>228.693</t>
  </si>
  <si>
    <t>212.693</t>
  </si>
  <si>
    <t>188.293</t>
  </si>
  <si>
    <t>224.04</t>
  </si>
  <si>
    <t>274.44</t>
  </si>
  <si>
    <t>245.573</t>
  </si>
  <si>
    <t>229.96</t>
  </si>
  <si>
    <t>213.786</t>
  </si>
  <si>
    <t>210.6</t>
  </si>
  <si>
    <t>211.68</t>
  </si>
  <si>
    <t>295.68</t>
  </si>
  <si>
    <t>246.84</t>
  </si>
  <si>
    <t>185.48</t>
  </si>
  <si>
    <t>356.106</t>
  </si>
  <si>
    <t>208.826</t>
  </si>
  <si>
    <t>270.773</t>
  </si>
  <si>
    <t>232.373</t>
  </si>
  <si>
    <t>215.946</t>
  </si>
  <si>
    <t>192.453</t>
  </si>
  <si>
    <t>254.053</t>
  </si>
  <si>
    <t>239.28</t>
  </si>
  <si>
    <t>248.346</t>
  </si>
  <si>
    <t>229.308</t>
  </si>
  <si>
    <t>269.135</t>
  </si>
  <si>
    <t>259.146</t>
  </si>
  <si>
    <t>242.84</t>
  </si>
  <si>
    <t>246.677</t>
  </si>
  <si>
    <t>218.746</t>
  </si>
  <si>
    <t>222.706</t>
  </si>
  <si>
    <t>220.906</t>
  </si>
  <si>
    <t>258.6</t>
  </si>
  <si>
    <t>225.76</t>
  </si>
  <si>
    <t>322.866</t>
  </si>
  <si>
    <t>211.96</t>
  </si>
  <si>
    <t>276.253</t>
  </si>
  <si>
    <t>239.946</t>
  </si>
  <si>
    <t>219.28</t>
  </si>
  <si>
    <t>182.773</t>
  </si>
  <si>
    <t>222.423</t>
  </si>
  <si>
    <t>169.16</t>
  </si>
  <si>
    <t>208.786</t>
  </si>
  <si>
    <t>212.186</t>
  </si>
  <si>
    <t>233.426</t>
  </si>
  <si>
    <t>238.786</t>
  </si>
  <si>
    <t>224.186</t>
  </si>
  <si>
    <t>223.524</t>
  </si>
  <si>
    <t>223.872</t>
  </si>
  <si>
    <t>191.6</t>
  </si>
  <si>
    <t>191.24</t>
  </si>
  <si>
    <t>211.76</t>
  </si>
  <si>
    <t>188.786</t>
  </si>
  <si>
    <t>221.026</t>
  </si>
  <si>
    <t>244.72</t>
  </si>
  <si>
    <t>227.92</t>
  </si>
  <si>
    <t>235.573</t>
  </si>
  <si>
    <t>248.72</t>
  </si>
  <si>
    <t>243.6</t>
  </si>
  <si>
    <t>232.666</t>
  </si>
  <si>
    <t>177.6</t>
  </si>
  <si>
    <t>205.72</t>
  </si>
  <si>
    <t>190.346</t>
  </si>
  <si>
    <t>258.466</t>
  </si>
  <si>
    <t>187.586</t>
  </si>
  <si>
    <t>243.133</t>
  </si>
  <si>
    <t>251.24</t>
  </si>
  <si>
    <t>223.693</t>
  </si>
  <si>
    <t>178.6</t>
  </si>
  <si>
    <t>172.4</t>
  </si>
  <si>
    <t>233.133</t>
  </si>
  <si>
    <t>163.573</t>
  </si>
  <si>
    <t>234.666</t>
  </si>
  <si>
    <t>202.066</t>
  </si>
  <si>
    <t>258.266</t>
  </si>
  <si>
    <t>309.773</t>
  </si>
  <si>
    <t>288.626</t>
  </si>
  <si>
    <t>249.746</t>
  </si>
  <si>
    <t>217.12</t>
  </si>
  <si>
    <t>305.466</t>
  </si>
  <si>
    <t>231.21</t>
  </si>
  <si>
    <t>245.173</t>
  </si>
  <si>
    <t>212.96</t>
  </si>
  <si>
    <t>249.994</t>
  </si>
  <si>
    <t>255.808</t>
  </si>
  <si>
    <t>236.842</t>
  </si>
  <si>
    <t>245.378</t>
  </si>
  <si>
    <t>286.613</t>
  </si>
  <si>
    <t>283.424</t>
  </si>
  <si>
    <t>205.066</t>
  </si>
  <si>
    <t>184.549</t>
  </si>
  <si>
    <t>257.786</t>
  </si>
  <si>
    <t>329.146</t>
  </si>
  <si>
    <t>228.253</t>
  </si>
  <si>
    <t>241.503</t>
  </si>
  <si>
    <t>226.369</t>
  </si>
  <si>
    <t>252.8</t>
  </si>
  <si>
    <t>228.813</t>
  </si>
  <si>
    <t>204.44</t>
  </si>
  <si>
    <t>327.893</t>
  </si>
  <si>
    <t>249.066</t>
  </si>
  <si>
    <t>242.973</t>
  </si>
  <si>
    <t>288.2</t>
  </si>
  <si>
    <t>212.906</t>
  </si>
  <si>
    <t>277.306</t>
  </si>
  <si>
    <t>278.44</t>
  </si>
  <si>
    <t>308.56</t>
  </si>
  <si>
    <t>307.053</t>
  </si>
  <si>
    <t>281.764</t>
  </si>
  <si>
    <t>316.426</t>
  </si>
  <si>
    <t>281.24</t>
  </si>
  <si>
    <t>245.844</t>
  </si>
  <si>
    <t>264.098</t>
  </si>
  <si>
    <t>288.64</t>
  </si>
  <si>
    <t>260.573</t>
  </si>
  <si>
    <t>299.84</t>
  </si>
  <si>
    <t>328.533</t>
  </si>
  <si>
    <t>269.813</t>
  </si>
  <si>
    <t>285.52</t>
  </si>
  <si>
    <t>359.173</t>
  </si>
  <si>
    <t>235.906</t>
  </si>
  <si>
    <t>301.115</t>
  </si>
  <si>
    <t>229.8</t>
  </si>
  <si>
    <t>281.666</t>
  </si>
  <si>
    <t>228.018</t>
  </si>
  <si>
    <t>219.884</t>
  </si>
  <si>
    <t>225.599</t>
  </si>
  <si>
    <t>223.303</t>
  </si>
  <si>
    <t>257.92</t>
  </si>
  <si>
    <t>343.413</t>
  </si>
  <si>
    <t>280.266</t>
  </si>
  <si>
    <t>216.4</t>
  </si>
  <si>
    <t>258.236</t>
  </si>
  <si>
    <t>247.871</t>
  </si>
  <si>
    <t>356.76</t>
  </si>
  <si>
    <t>293.28</t>
  </si>
  <si>
    <t>251.106</t>
  </si>
  <si>
    <t>277.226</t>
  </si>
  <si>
    <t>290.973</t>
  </si>
  <si>
    <t>275.72</t>
  </si>
  <si>
    <t>278.16</t>
  </si>
  <si>
    <t>231.359</t>
  </si>
  <si>
    <t>238.719</t>
  </si>
  <si>
    <t>266.853</t>
  </si>
  <si>
    <t>269.333</t>
  </si>
  <si>
    <t>305.226</t>
  </si>
  <si>
    <t>340.106</t>
  </si>
  <si>
    <t>321.266</t>
  </si>
  <si>
    <t>239.44</t>
  </si>
  <si>
    <t>316.866</t>
  </si>
  <si>
    <t>243.933</t>
  </si>
  <si>
    <t>290.88</t>
  </si>
  <si>
    <t>229.946</t>
  </si>
  <si>
    <t>285.946</t>
  </si>
  <si>
    <t>315.853</t>
  </si>
  <si>
    <t>226.546</t>
  </si>
  <si>
    <t>253.573</t>
  </si>
  <si>
    <t>207.32</t>
  </si>
  <si>
    <t>180.725</t>
  </si>
  <si>
    <t>210.973</t>
  </si>
  <si>
    <t>330.96</t>
  </si>
  <si>
    <t>301.933</t>
  </si>
  <si>
    <t>221.48</t>
  </si>
  <si>
    <t>294.32</t>
  </si>
  <si>
    <t>249.8</t>
  </si>
  <si>
    <t>231.746</t>
  </si>
  <si>
    <t>189.515</t>
  </si>
  <si>
    <t>213.2</t>
  </si>
  <si>
    <t>213.893</t>
  </si>
  <si>
    <t>315.973</t>
  </si>
  <si>
    <t>262.72</t>
  </si>
  <si>
    <t>168.84</t>
  </si>
  <si>
    <t>164.093</t>
  </si>
  <si>
    <t>323.026</t>
  </si>
  <si>
    <t>306.213</t>
  </si>
  <si>
    <t>310.68</t>
  </si>
  <si>
    <t>288.026</t>
  </si>
  <si>
    <t>294.52</t>
  </si>
  <si>
    <t>292.506</t>
  </si>
  <si>
    <t>210.2</t>
  </si>
  <si>
    <t>257.053</t>
  </si>
  <si>
    <t>227.706</t>
  </si>
  <si>
    <t>179.53</t>
  </si>
  <si>
    <t>167.65</t>
  </si>
  <si>
    <t>238.533</t>
  </si>
  <si>
    <t>205.368</t>
  </si>
  <si>
    <t>209.374</t>
  </si>
  <si>
    <t>215.013</t>
  </si>
  <si>
    <t>246.653</t>
  </si>
  <si>
    <t>252.133</t>
  </si>
  <si>
    <t>289.533</t>
  </si>
  <si>
    <t>234.373</t>
  </si>
  <si>
    <t>200.639</t>
  </si>
  <si>
    <t>192.493</t>
  </si>
  <si>
    <t>218.56</t>
  </si>
  <si>
    <t>254.927</t>
  </si>
  <si>
    <t>199.741</t>
  </si>
  <si>
    <t>264.493</t>
  </si>
  <si>
    <t>232.573</t>
  </si>
  <si>
    <t>208.906</t>
  </si>
  <si>
    <t>239.893</t>
  </si>
  <si>
    <t>261.973</t>
  </si>
  <si>
    <t>258.839</t>
  </si>
  <si>
    <t>196.853</t>
  </si>
  <si>
    <t>228.16</t>
  </si>
  <si>
    <t>248.133</t>
  </si>
  <si>
    <t>225.041</t>
  </si>
  <si>
    <t>257.253</t>
  </si>
  <si>
    <t>247.186</t>
  </si>
  <si>
    <t>217.76</t>
  </si>
  <si>
    <t>198.818</t>
  </si>
  <si>
    <t>252.221</t>
  </si>
  <si>
    <t>207.92</t>
  </si>
  <si>
    <t>220.105</t>
  </si>
  <si>
    <t>190.219</t>
  </si>
  <si>
    <t>206.6</t>
  </si>
  <si>
    <t>224.693</t>
  </si>
  <si>
    <t>163.244</t>
  </si>
  <si>
    <t>251.2</t>
  </si>
  <si>
    <t>225.013</t>
  </si>
  <si>
    <t>253.76</t>
  </si>
  <si>
    <t>228.64</t>
  </si>
  <si>
    <t>184.093</t>
  </si>
  <si>
    <t>253.6</t>
  </si>
  <si>
    <t>236.64</t>
  </si>
  <si>
    <t>224.866</t>
  </si>
  <si>
    <t>262.746</t>
  </si>
  <si>
    <t>237.773</t>
  </si>
  <si>
    <t>237.08</t>
  </si>
  <si>
    <t>189.471</t>
  </si>
  <si>
    <t>193.831</t>
  </si>
  <si>
    <t>224.21</t>
  </si>
  <si>
    <t>240.706</t>
  </si>
  <si>
    <t>160.431</t>
  </si>
  <si>
    <t>249.253</t>
  </si>
  <si>
    <t>212.106</t>
  </si>
  <si>
    <t>210.211</t>
  </si>
  <si>
    <t>209.221</t>
  </si>
  <si>
    <t>189.157</t>
  </si>
  <si>
    <t>253.826</t>
  </si>
  <si>
    <t>263.301</t>
  </si>
  <si>
    <t>221.139</t>
  </si>
  <si>
    <t>256.64</t>
  </si>
  <si>
    <t>287.733</t>
  </si>
  <si>
    <t>307.106</t>
  </si>
  <si>
    <t>262</t>
  </si>
  <si>
    <t>255.986</t>
  </si>
  <si>
    <t>249.76</t>
  </si>
  <si>
    <t>242.291</t>
  </si>
  <si>
    <t>191.496</t>
  </si>
  <si>
    <t>200.464</t>
  </si>
  <si>
    <t>158.476</t>
  </si>
  <si>
    <t>157.407</t>
  </si>
  <si>
    <t>135.914</t>
  </si>
  <si>
    <t>124.485</t>
  </si>
  <si>
    <t>234.848</t>
  </si>
  <si>
    <t>216.976</t>
  </si>
  <si>
    <t>276.228</t>
  </si>
  <si>
    <t>181.914</t>
  </si>
  <si>
    <t>154.088</t>
  </si>
  <si>
    <t>227.312</t>
  </si>
  <si>
    <t>245.12</t>
  </si>
  <si>
    <t>244.614</t>
  </si>
  <si>
    <t>219.373</t>
  </si>
  <si>
    <t>218.533</t>
  </si>
  <si>
    <t>216.586</t>
  </si>
  <si>
    <t>182.106</t>
  </si>
  <si>
    <t>170.739</t>
  </si>
  <si>
    <t>235.065</t>
  </si>
  <si>
    <t>214.914</t>
  </si>
  <si>
    <t>209.265</t>
  </si>
  <si>
    <t>188.345</t>
  </si>
  <si>
    <t>217.032</t>
  </si>
  <si>
    <t>174.416</t>
  </si>
  <si>
    <t>199.847</t>
  </si>
  <si>
    <t>153.709</t>
  </si>
  <si>
    <t>194.292</t>
  </si>
  <si>
    <t>152.163</t>
  </si>
  <si>
    <t>192.038</t>
  </si>
  <si>
    <t>549.177</t>
  </si>
  <si>
    <t>240.882</t>
  </si>
  <si>
    <t>270.626</t>
  </si>
  <si>
    <t>175.748</t>
  </si>
  <si>
    <t>208.908</t>
  </si>
  <si>
    <t>221.946</t>
  </si>
  <si>
    <t>292.912</t>
  </si>
  <si>
    <t>213.573</t>
  </si>
  <si>
    <t>309.426</t>
  </si>
  <si>
    <t>240.653</t>
  </si>
  <si>
    <t>255.909</t>
  </si>
  <si>
    <t>310.866</t>
  </si>
  <si>
    <t>266.666</t>
  </si>
  <si>
    <t>232.28</t>
  </si>
  <si>
    <t>258.937</t>
  </si>
  <si>
    <t>207.013</t>
  </si>
  <si>
    <t>259.106</t>
  </si>
  <si>
    <t>263.666</t>
  </si>
  <si>
    <t>201.44</t>
  </si>
  <si>
    <t>267.28</t>
  </si>
  <si>
    <t>288</t>
  </si>
  <si>
    <t>337.133</t>
  </si>
  <si>
    <t>316.6</t>
  </si>
  <si>
    <t>264.16</t>
  </si>
  <si>
    <t>236.653</t>
  </si>
  <si>
    <t>332.12</t>
  </si>
  <si>
    <t>249.973</t>
  </si>
  <si>
    <t>233.346</t>
  </si>
  <si>
    <t>170.839</t>
  </si>
  <si>
    <t>247.64</t>
  </si>
  <si>
    <t>262.44</t>
  </si>
  <si>
    <t>265.306</t>
  </si>
  <si>
    <t>231.773</t>
  </si>
  <si>
    <t>238.16</t>
  </si>
  <si>
    <t>247.866</t>
  </si>
  <si>
    <t>248</t>
  </si>
  <si>
    <t>227.613</t>
  </si>
  <si>
    <t>257.44</t>
  </si>
  <si>
    <t>228.106</t>
  </si>
  <si>
    <t>279</t>
  </si>
  <si>
    <t>237.373</t>
  </si>
  <si>
    <t>305.013</t>
  </si>
  <si>
    <t>244.026</t>
  </si>
  <si>
    <t>284.466</t>
  </si>
  <si>
    <t>241.013</t>
  </si>
  <si>
    <t>232.331</t>
  </si>
  <si>
    <t>331.36</t>
  </si>
  <si>
    <t>247.693</t>
  </si>
  <si>
    <t>321.323</t>
  </si>
  <si>
    <t>234.938</t>
  </si>
  <si>
    <t>265.904</t>
  </si>
  <si>
    <t>225.985</t>
  </si>
  <si>
    <t>302.773</t>
  </si>
  <si>
    <t>239.24</t>
  </si>
  <si>
    <t>216</t>
  </si>
  <si>
    <t>190.48</t>
  </si>
  <si>
    <t>210.733</t>
  </si>
  <si>
    <t>171.426</t>
  </si>
  <si>
    <t>236.506</t>
  </si>
  <si>
    <t>217.986</t>
  </si>
  <si>
    <t>291.106</t>
  </si>
  <si>
    <t>195.573</t>
  </si>
  <si>
    <t>217.933</t>
  </si>
  <si>
    <t>246.44</t>
  </si>
  <si>
    <t>237.72</t>
  </si>
  <si>
    <t>230.72</t>
  </si>
  <si>
    <t>248.499</t>
  </si>
  <si>
    <t>268.773</t>
  </si>
  <si>
    <t>253.48</t>
  </si>
  <si>
    <t>228.026</t>
  </si>
  <si>
    <t>238</t>
  </si>
  <si>
    <t>250.866</t>
  </si>
  <si>
    <t>275.28</t>
  </si>
  <si>
    <t>228.783</t>
  </si>
  <si>
    <t>230.346</t>
  </si>
  <si>
    <t>259.613</t>
  </si>
  <si>
    <t>189.693</t>
  </si>
  <si>
    <t>184.133</t>
  </si>
  <si>
    <t>219.4</t>
  </si>
  <si>
    <t>235.12</t>
  </si>
  <si>
    <t>233.666</t>
  </si>
  <si>
    <t>223.88</t>
  </si>
  <si>
    <t>214.387</t>
  </si>
  <si>
    <t>274.213</t>
  </si>
  <si>
    <t>249.88</t>
  </si>
  <si>
    <t>216.613</t>
  </si>
  <si>
    <t>251.186</t>
  </si>
  <si>
    <t>205.452</t>
  </si>
  <si>
    <t>175.853</t>
  </si>
  <si>
    <t>279.04</t>
  </si>
  <si>
    <t>287.626</t>
  </si>
  <si>
    <t>207.016</t>
  </si>
  <si>
    <t>145.922</t>
  </si>
  <si>
    <t>203.226</t>
  </si>
  <si>
    <t>172.146</t>
  </si>
  <si>
    <t>232.992</t>
  </si>
  <si>
    <t>239.826</t>
  </si>
  <si>
    <t>206.826</t>
  </si>
  <si>
    <t>250</t>
  </si>
  <si>
    <t>167.04</t>
  </si>
  <si>
    <t>194.824</t>
  </si>
  <si>
    <t>286.786</t>
  </si>
  <si>
    <t>226.804</t>
  </si>
  <si>
    <t>225.693</t>
  </si>
  <si>
    <t>240.24</t>
  </si>
  <si>
    <t>244.466</t>
  </si>
  <si>
    <t>261</t>
  </si>
  <si>
    <t>249.333</t>
  </si>
  <si>
    <t>281.821</t>
  </si>
  <si>
    <t>202.8</t>
  </si>
  <si>
    <t>216.053</t>
  </si>
  <si>
    <t>207.8</t>
  </si>
  <si>
    <t>211.173</t>
  </si>
  <si>
    <t>266.24</t>
  </si>
  <si>
    <t>210.4</t>
  </si>
  <si>
    <t>228.146</t>
  </si>
  <si>
    <t>258.093</t>
  </si>
  <si>
    <t>288.946</t>
  </si>
  <si>
    <t>207.914</t>
  </si>
  <si>
    <t>213.72</t>
  </si>
  <si>
    <t>145.783</t>
  </si>
  <si>
    <t>217.808</t>
  </si>
  <si>
    <t>271.6</t>
  </si>
  <si>
    <t>251.52</t>
  </si>
  <si>
    <t>154.293</t>
  </si>
  <si>
    <t>178.849</t>
  </si>
  <si>
    <t>259.373</t>
  </si>
  <si>
    <t>195.662</t>
  </si>
  <si>
    <t>238.106</t>
  </si>
  <si>
    <t>231.646</t>
  </si>
  <si>
    <t>251.773</t>
  </si>
  <si>
    <t>245.68</t>
  </si>
  <si>
    <t>244</t>
  </si>
  <si>
    <t>197.426</t>
  </si>
  <si>
    <t>172.8</t>
  </si>
  <si>
    <t>269.754</t>
  </si>
  <si>
    <t>208.6</t>
  </si>
  <si>
    <t>226.266</t>
  </si>
  <si>
    <t>227.973</t>
  </si>
  <si>
    <t>251.051</t>
  </si>
  <si>
    <t>192.548</t>
  </si>
  <si>
    <t>197.643</t>
  </si>
  <si>
    <t>229.567</t>
  </si>
  <si>
    <t>233.755</t>
  </si>
  <si>
    <t>188.583</t>
  </si>
  <si>
    <t>214.109</t>
  </si>
  <si>
    <t>193.326</t>
  </si>
  <si>
    <t>162.816</t>
  </si>
  <si>
    <t>213.213</t>
  </si>
  <si>
    <t>253.24</t>
  </si>
  <si>
    <t>234.48</t>
  </si>
  <si>
    <t>209.8</t>
  </si>
  <si>
    <t>211.186</t>
  </si>
  <si>
    <t>251.493</t>
  </si>
  <si>
    <t>218.866</t>
  </si>
  <si>
    <t>207.693</t>
  </si>
  <si>
    <t>296.013</t>
  </si>
  <si>
    <t>239.84</t>
  </si>
  <si>
    <t>194.579</t>
  </si>
  <si>
    <t>218.576</t>
  </si>
  <si>
    <t>206.173</t>
  </si>
  <si>
    <t>213.06</t>
  </si>
  <si>
    <t>218.552</t>
  </si>
  <si>
    <t>218.637</t>
  </si>
  <si>
    <t>208.92</t>
  </si>
  <si>
    <t>211.538</t>
  </si>
  <si>
    <t>207.87</t>
  </si>
  <si>
    <t>201.311</t>
  </si>
  <si>
    <t>227.521</t>
  </si>
  <si>
    <t>Total artistas</t>
  </si>
  <si>
    <t>Total álbumes</t>
  </si>
  <si>
    <t>Canciones explícitas</t>
  </si>
  <si>
    <t>No explícitas</t>
  </si>
  <si>
    <t>% Explicitas</t>
  </si>
  <si>
    <t>Valores</t>
  </si>
  <si>
    <t>Recuento de Nombre del álbum</t>
  </si>
  <si>
    <t>Top 10 Artistas</t>
  </si>
  <si>
    <t>Top 10 Albumes</t>
  </si>
  <si>
    <t>Recuento de Nombre de la canción</t>
  </si>
  <si>
    <t>Popularidad categoria</t>
  </si>
  <si>
    <t>Canciones Añadidad por Año</t>
  </si>
  <si>
    <t>Canciones por Año de publicación</t>
  </si>
  <si>
    <t>Duracion Total</t>
  </si>
  <si>
    <t>Duracion Promedio</t>
  </si>
  <si>
    <t>Tarjetas Dinámicas</t>
  </si>
  <si>
    <t>Cancion mas larga</t>
  </si>
  <si>
    <t>Insights</t>
  </si>
  <si>
    <t>Canción mas larga</t>
  </si>
  <si>
    <t>Cancion mas popular</t>
  </si>
  <si>
    <t>Canción mas popular</t>
  </si>
  <si>
    <t>Canción más corta</t>
  </si>
  <si>
    <t>Canción menos popular</t>
  </si>
  <si>
    <t>Álbum con más canciones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</si>
</sst>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4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32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46" fontId="0" fillId="0" borderId="0" xfId="0" applyNumberFormat="1" applyAlignment="1">
      <alignment horizontal="left"/>
    </xf>
    <xf numFmtId="45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pivotButton="1"/>
    <xf numFmtId="164" fontId="0" fillId="0" borderId="0" xfId="1" applyNumberFormat="1" applyFont="1" applyAlignment="1">
      <alignment horizontal="left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2" fontId="0" fillId="0" borderId="0" xfId="0" applyNumberFormat="1"/>
    <xf numFmtId="164" fontId="0" fillId="0" borderId="0" xfId="0" applyNumberFormat="1"/>
    <xf numFmtId="0" fontId="2" fillId="3" borderId="0" xfId="2" applyAlignment="1">
      <alignment horizontal="center"/>
    </xf>
    <xf numFmtId="0" fontId="2" fillId="3" borderId="0" xfId="2"/>
    <xf numFmtId="0" fontId="2" fillId="3" borderId="0" xfId="2" applyNumberFormat="1"/>
    <xf numFmtId="0" fontId="2" fillId="4" borderId="0" xfId="3"/>
    <xf numFmtId="2" fontId="2" fillId="3" borderId="0" xfId="2" applyNumberFormat="1"/>
    <xf numFmtId="164" fontId="2" fillId="3" borderId="0" xfId="2" applyNumberFormat="1"/>
    <xf numFmtId="46" fontId="0" fillId="0" borderId="0" xfId="0" applyNumberFormat="1"/>
    <xf numFmtId="45" fontId="0" fillId="0" borderId="0" xfId="0" applyNumberFormat="1"/>
    <xf numFmtId="0" fontId="1" fillId="3" borderId="0" xfId="2" applyFont="1" applyAlignment="1">
      <alignment horizontal="center"/>
    </xf>
  </cellXfs>
  <cellStyles count="4">
    <cellStyle name="60% - Énfasis1" xfId="3" builtinId="32"/>
    <cellStyle name="60% - Énfasis4" xfId="2" builtinId="44"/>
    <cellStyle name="Normal" xfId="0" builtinId="0"/>
    <cellStyle name="Porcentaje" xfId="1" builtinId="5"/>
  </cellStyles>
  <dxfs count="14">
    <dxf>
      <numFmt numFmtId="28" formatCode="mm:ss"/>
    </dxf>
    <dxf>
      <numFmt numFmtId="31" formatCode="[h]:mm:ss"/>
    </dxf>
    <dxf>
      <numFmt numFmtId="164" formatCode="0.0%"/>
    </dxf>
    <dxf>
      <numFmt numFmtId="2" formatCode="0.00"/>
    </dxf>
    <dxf>
      <numFmt numFmtId="27" formatCode="d/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color theme="0"/>
        <name val="Aptos Narrow"/>
        <family val="2"/>
        <scheme val="minor"/>
      </font>
      <fill>
        <patternFill>
          <fgColor auto="1"/>
          <bgColor rgb="FF26262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26262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0"/>
      </font>
      <fill>
        <patternFill>
          <bgColor rgb="FF1AD760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name val="Aptos Narrow"/>
        <family val="2"/>
        <scheme val="minor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Estilo de segmentación de datos 1" pivot="0" table="0" count="1" xr9:uid="{A3D6FFE5-0112-4FB0-8C33-15D8FA879C57}">
      <tableStyleElement type="wholeTable" dxfId="13"/>
    </tableStyle>
    <tableStyle name="SlicerStyleLight3 2" pivot="0" table="0" count="10" xr9:uid="{D067809C-C5CF-4AF1-BBD7-5382FEF8412D}">
      <tableStyleElement type="wholeTable" dxfId="12"/>
      <tableStyleElement type="headerRow" dxfId="11"/>
    </tableStyle>
    <tableStyle name="Spotify" pivot="0" table="0" count="7" xr9:uid="{A0C4D13E-15BA-4727-B2F2-E8E01FA786DB}">
      <tableStyleElement type="wholeTable" dxfId="10"/>
      <tableStyleElement type="headerRow" dxfId="9"/>
    </tableStyle>
  </tableStyles>
  <colors>
    <mruColors>
      <color rgb="FF1AD760"/>
      <color rgb="FF1EFB70"/>
      <color rgb="FF555555"/>
      <color rgb="FF121212"/>
      <color rgb="FF383838"/>
      <color rgb="FF181818"/>
      <color rgb="FF262626"/>
    </mruColors>
  </colors>
  <extLst>
    <ext xmlns:x14="http://schemas.microsoft.com/office/spreadsheetml/2009/9/main" uri="{46F421CA-312F-682f-3DD2-61675219B42D}">
      <x14:dxfs count="13">
        <dxf>
          <font>
            <color theme="1"/>
          </font>
          <fill>
            <patternFill>
              <bgColor rgb="FF1EFB70"/>
            </patternFill>
          </fill>
        </dxf>
        <dxf>
          <font>
            <color theme="1" tint="0.499984740745262"/>
          </font>
          <fill>
            <patternFill>
              <bgColor theme="1" tint="0.14996795556505021"/>
            </patternFill>
          </fill>
        </dxf>
        <dxf>
          <font>
            <color theme="0"/>
          </font>
          <fill>
            <patternFill>
              <fgColor auto="1"/>
              <bgColor rgb="FF1AD760"/>
            </patternFill>
          </fill>
        </dxf>
        <dxf>
          <font>
            <color rgb="FF555555"/>
          </font>
          <fill>
            <patternFill>
              <bgColor rgb="FF121212"/>
            </patternFill>
          </fill>
        </dxf>
        <dxf>
          <font>
            <color theme="0"/>
          </font>
          <fill>
            <patternFill>
              <bgColor rgb="FF181818"/>
            </patternFill>
          </fill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potify">
        <x14:slicerStyle name="Estilo de segmentación de datos 1"/>
        <x14:slicerStyle name="SlicerStyleLight3 2">
          <x14:slicerStyleElements>
            <x14:slicerStyleElement type="unselectedItemWithData" dxfId="12"/>
            <x14:slicerStyleElement type="unselectedItemWithNoData" dxfId="11"/>
            <x14:slicerStyleElement type="selectedItemWithData" dxfId="10"/>
            <x14:slicerStyleElement type="selectedItemWithNoData" dxfId="9"/>
            <x14:slicerStyleElement type="hoveredUnselectedItemWithData" dxfId="8"/>
            <x14:slicerStyleElement type="hoveredSelectedItemWithData" dxfId="7"/>
            <x14:slicerStyleElement type="hoveredUnselectedItemWithNoData" dxfId="6"/>
            <x14:slicerStyleElement type="hoveredSelectedItemWithNoData" dxfId="5"/>
          </x14:slicerStyleElements>
        </x14:slicerStyle>
        <x14:slicerStyle name="Spotify">
          <x14:slicerStyleElements>
            <x14:slicerStyleElement type="unselectedItemWithData" dxfId="4"/>
            <x14:slicerStyleElement type="unselectedItemWithNoData" dxfId="3"/>
            <x14:slicerStyleElement type="selectedItemWithData" dxfId="2"/>
            <x14:slicerStyleElement type="selectedItemWithNo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9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9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45" Type="http://schemas.openxmlformats.org/officeDocument/2006/relationships/customXml" Target="../customXml/item23.xml"/><Relationship Id="rId5" Type="http://schemas.openxmlformats.org/officeDocument/2006/relationships/pivotCacheDefinition" Target="pivotCache/pivotCacheDefinition1.xml"/><Relationship Id="rId15" Type="http://schemas.microsoft.com/office/2007/relationships/slicerCache" Target="slicerCaches/slicerCache1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pivotCacheDefinition" Target="pivotCache/pivotCacheDefinition6.xml"/><Relationship Id="rId19" Type="http://schemas.openxmlformats.org/officeDocument/2006/relationships/styles" Target="styles.xml"/><Relationship Id="rId31" Type="http://schemas.openxmlformats.org/officeDocument/2006/relationships/customXml" Target="../customXml/item9.xml"/><Relationship Id="rId44" Type="http://schemas.openxmlformats.org/officeDocument/2006/relationships/customXml" Target="../customXml/item2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8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20" Type="http://schemas.openxmlformats.org/officeDocument/2006/relationships/sharedStrings" Target="sharedStrings.xml"/><Relationship Id="rId41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DO" b="1"/>
              <a:t>AÑADIDAS POR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57150" cap="rnd">
            <a:solidFill>
              <a:srgbClr val="1AD760"/>
            </a:solidFill>
            <a:round/>
            <a:headEnd type="oval" w="med" len="med"/>
            <a:tailEnd type="oval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08607"/>
        <c:axId val="2078816751"/>
      </c:lineChart>
      <c:catAx>
        <c:axId val="551808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2078816751"/>
        <c:crosses val="autoZero"/>
        <c:auto val="1"/>
        <c:lblAlgn val="ctr"/>
        <c:lblOffset val="100"/>
        <c:noMultiLvlLbl val="0"/>
      </c:catAx>
      <c:valAx>
        <c:axId val="207881675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5180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DO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[Music_Streaming_Analytics.xlsx]Y!TopArtistas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DO" b="1"/>
              <a:t>TOP 10 ARTISTAS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EFB70"/>
          </a:solidFill>
          <a:ln w="76200">
            <a:solidFill>
              <a:srgbClr val="1EFB7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Y!$E$2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EFB70"/>
            </a:solidFill>
            <a:ln w="76200">
              <a:solidFill>
                <a:srgbClr val="1EFB70"/>
              </a:solidFill>
            </a:ln>
            <a:effectLst/>
          </c:spPr>
          <c:invertIfNegative val="0"/>
          <c:cat>
            <c:strRef>
              <c:f>Y!$D$3:$D$13</c:f>
              <c:strCache>
                <c:ptCount val="10"/>
                <c:pt idx="0">
                  <c:v>Luis Fonsi</c:v>
                </c:pt>
                <c:pt idx="1">
                  <c:v>Chayanne</c:v>
                </c:pt>
                <c:pt idx="2">
                  <c:v>Ricardo Arjona</c:v>
                </c:pt>
                <c:pt idx="3">
                  <c:v>Ricky Martin</c:v>
                </c:pt>
                <c:pt idx="4">
                  <c:v>Malú</c:v>
                </c:pt>
                <c:pt idx="5">
                  <c:v>Enrique Iglesias</c:v>
                </c:pt>
                <c:pt idx="6">
                  <c:v>David Bisbal</c:v>
                </c:pt>
                <c:pt idx="7">
                  <c:v>Alejandro Sanz</c:v>
                </c:pt>
                <c:pt idx="8">
                  <c:v>Pablo Alborán</c:v>
                </c:pt>
                <c:pt idx="9">
                  <c:v>Melendi</c:v>
                </c:pt>
              </c:strCache>
            </c:strRef>
          </c:cat>
          <c:val>
            <c:numRef>
              <c:f>Y!$E$3:$E$13</c:f>
              <c:numCache>
                <c:formatCode>General</c:formatCode>
                <c:ptCount val="10"/>
                <c:pt idx="0">
                  <c:v>6</c:v>
                </c:pt>
                <c:pt idx="1">
                  <c:v>8</c:v>
                </c:pt>
                <c:pt idx="2">
                  <c:v>8</c:v>
                </c:pt>
                <c:pt idx="3">
                  <c:v>9</c:v>
                </c:pt>
                <c:pt idx="4">
                  <c:v>15</c:v>
                </c:pt>
                <c:pt idx="5">
                  <c:v>19</c:v>
                </c:pt>
                <c:pt idx="6">
                  <c:v>31</c:v>
                </c:pt>
                <c:pt idx="7">
                  <c:v>89</c:v>
                </c:pt>
                <c:pt idx="8">
                  <c:v>106</c:v>
                </c:pt>
                <c:pt idx="9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77-47B9-8515-A74578B60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2895296"/>
        <c:axId val="1072895776"/>
      </c:barChart>
      <c:catAx>
        <c:axId val="10728952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072895776"/>
        <c:crosses val="autoZero"/>
        <c:auto val="1"/>
        <c:lblAlgn val="ctr"/>
        <c:lblOffset val="100"/>
        <c:noMultiLvlLbl val="0"/>
      </c:catAx>
      <c:valAx>
        <c:axId val="1072895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289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D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[Music_Streaming_Analytics.xlsx]Y!TopAlbumes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DO" sz="1400" b="1" i="0" u="none" strike="noStrike" kern="1200" spc="0" baseline="0">
                <a:solidFill>
                  <a:sysClr val="window" lastClr="FFFFFF"/>
                </a:solidFill>
              </a:rPr>
              <a:t>TOP ALBUMES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310377869432986"/>
          <c:y val="0.13246646026831788"/>
          <c:w val="0.69689622130567008"/>
          <c:h val="0.801486068111455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Y!$H$2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AD760"/>
            </a:solidFill>
            <a:ln w="76200">
              <a:solidFill>
                <a:srgbClr val="1AD76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Y!$G$3:$G$13</c:f>
              <c:strCache>
                <c:ptCount val="10"/>
                <c:pt idx="0">
                  <c:v>Coleccion definitiva (Deluxe)</c:v>
                </c:pt>
                <c:pt idx="1">
                  <c:v>Un alumno más</c:v>
                </c:pt>
                <c:pt idx="2">
                  <c:v>KM0</c:v>
                </c:pt>
                <c:pt idx="3">
                  <c:v>Pop Rock</c:v>
                </c:pt>
                <c:pt idx="4">
                  <c:v>Que El Cielo Espere Sentao..</c:v>
                </c:pt>
                <c:pt idx="5">
                  <c:v>Ahora</c:v>
                </c:pt>
                <c:pt idx="6">
                  <c:v>Terral</c:v>
                </c:pt>
                <c:pt idx="7">
                  <c:v>Pablo Alboran (Deluxe)</c:v>
                </c:pt>
                <c:pt idx="8">
                  <c:v>Tanto (Edición Premium)</c:v>
                </c:pt>
                <c:pt idx="9">
                  <c:v>Yo me veo contigo</c:v>
                </c:pt>
              </c:strCache>
            </c:strRef>
          </c:cat>
          <c:val>
            <c:numRef>
              <c:f>Y!$H$3:$H$13</c:f>
              <c:numCache>
                <c:formatCode>General</c:formatCode>
                <c:ptCount val="1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66-4BDA-B28F-6BCAE375E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1903440"/>
        <c:axId val="371902000"/>
      </c:barChart>
      <c:catAx>
        <c:axId val="3719034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371902000"/>
        <c:crosses val="autoZero"/>
        <c:auto val="1"/>
        <c:lblAlgn val="ctr"/>
        <c:lblOffset val="100"/>
        <c:noMultiLvlLbl val="0"/>
      </c:catAx>
      <c:valAx>
        <c:axId val="3719020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1903440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solidFill>
        <a:srgbClr val="1AD760"/>
      </a:solidFill>
      <a:round/>
    </a:ln>
    <a:effectLst>
      <a:softEdge rad="317500"/>
    </a:effectLst>
  </c:spPr>
  <c:txPr>
    <a:bodyPr/>
    <a:lstStyle/>
    <a:p>
      <a:pPr>
        <a:defRPr>
          <a:solidFill>
            <a:schemeClr val="bg1"/>
          </a:solidFill>
        </a:defRPr>
      </a:pPr>
      <a:endParaRPr lang="es-DO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[Music_Streaming_Analytics.xlsx]Y!ClasificacionDuracion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DO" sz="1400" b="1" i="0" u="none" strike="noStrike" kern="1200" spc="0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rPr>
              <a:t>DURACION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AD760"/>
            </a:solidFill>
            <a:ln w="76200">
              <a:solidFill>
                <a:srgbClr val="1AD760"/>
              </a:solidFill>
            </a:ln>
            <a:effectLst/>
          </c:spPr>
          <c:invertIfNegative val="0"/>
          <c:cat>
            <c:strRef>
              <c:f>Y!$J$3:$J$7</c:f>
              <c:strCache>
                <c:ptCount val="4"/>
                <c:pt idx="0">
                  <c:v>2–3 min</c:v>
                </c:pt>
                <c:pt idx="1">
                  <c:v>3–4 min</c:v>
                </c:pt>
                <c:pt idx="2">
                  <c:v>4–5 min</c:v>
                </c:pt>
                <c:pt idx="3">
                  <c:v>Más de 5 min</c:v>
                </c:pt>
              </c:strCache>
            </c:strRef>
          </c:cat>
          <c:val>
            <c:numRef>
              <c:f>Y!$K$3:$K$7</c:f>
              <c:numCache>
                <c:formatCode>General</c:formatCode>
                <c:ptCount val="4"/>
                <c:pt idx="0">
                  <c:v>33</c:v>
                </c:pt>
                <c:pt idx="1">
                  <c:v>241</c:v>
                </c:pt>
                <c:pt idx="2">
                  <c:v>168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25-45B2-9977-300CBF642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3114975"/>
        <c:axId val="903109695"/>
      </c:barChart>
      <c:catAx>
        <c:axId val="90311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903109695"/>
        <c:crosses val="autoZero"/>
        <c:auto val="1"/>
        <c:lblAlgn val="ctr"/>
        <c:lblOffset val="100"/>
        <c:noMultiLvlLbl val="0"/>
      </c:catAx>
      <c:valAx>
        <c:axId val="9031096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03114975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D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[Music_Streaming_Analytics.xlsx]Y!ClasificacionPopularidad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DO" sz="1400" b="1" i="0" u="none" strike="noStrike" kern="1200" spc="0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rPr>
              <a:t>POPULARIDAD</a:t>
            </a:r>
          </a:p>
        </c:rich>
      </c:tx>
      <c:layout>
        <c:manualLayout>
          <c:xMode val="edge"/>
          <c:yMode val="edge"/>
          <c:x val="0.36506332681569165"/>
          <c:y val="6.1919504643962849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Y!$N$2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AD760"/>
            </a:solidFill>
            <a:ln w="76200">
              <a:solidFill>
                <a:srgbClr val="1AD760"/>
              </a:solidFill>
            </a:ln>
            <a:effectLst/>
          </c:spPr>
          <c:invertIfNegative val="0"/>
          <c:cat>
            <c:strRef>
              <c:f>Y!$M$3:$M$8</c:f>
              <c:strCache>
                <c:ptCount val="5"/>
                <c:pt idx="0">
                  <c:v>Alta</c:v>
                </c:pt>
                <c:pt idx="1">
                  <c:v>Baja</c:v>
                </c:pt>
                <c:pt idx="2">
                  <c:v>Media</c:v>
                </c:pt>
                <c:pt idx="3">
                  <c:v>Muy alta</c:v>
                </c:pt>
                <c:pt idx="4">
                  <c:v>Muy baja</c:v>
                </c:pt>
              </c:strCache>
            </c:strRef>
          </c:cat>
          <c:val>
            <c:numRef>
              <c:f>Y!$N$3:$N$8</c:f>
              <c:numCache>
                <c:formatCode>General</c:formatCode>
                <c:ptCount val="5"/>
                <c:pt idx="0">
                  <c:v>86</c:v>
                </c:pt>
                <c:pt idx="1">
                  <c:v>149</c:v>
                </c:pt>
                <c:pt idx="2">
                  <c:v>201</c:v>
                </c:pt>
                <c:pt idx="3">
                  <c:v>5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C5-4DF4-8C31-B1F033672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172415"/>
        <c:axId val="524157535"/>
      </c:barChart>
      <c:catAx>
        <c:axId val="524172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524157535"/>
        <c:crosses val="autoZero"/>
        <c:auto val="1"/>
        <c:lblAlgn val="ctr"/>
        <c:lblOffset val="100"/>
        <c:noMultiLvlLbl val="0"/>
      </c:catAx>
      <c:valAx>
        <c:axId val="52415753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24172415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D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[Music_Streaming_Analytics.xlsx]Y!Cancionesxañolanzamiennto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DO" sz="1400" b="1" i="0" u="none" strike="noStrike" kern="1200" spc="0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rPr>
              <a:t>CANCIONES POR AÑO DE LANZAMIENTO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Y!$Q$2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AD760"/>
            </a:solidFill>
            <a:ln w="76200">
              <a:solidFill>
                <a:srgbClr val="1AD760"/>
              </a:solidFill>
            </a:ln>
            <a:effectLst/>
          </c:spPr>
          <c:invertIfNegative val="0"/>
          <c:cat>
            <c:strRef>
              <c:f>Y!$P$3:$P$38</c:f>
              <c:strCache>
                <c:ptCount val="35"/>
                <c:pt idx="0">
                  <c:v>1989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1997</c:v>
                </c:pt>
                <c:pt idx="7">
                  <c:v>1998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  <c:pt idx="31">
                  <c:v>2023</c:v>
                </c:pt>
                <c:pt idx="32">
                  <c:v>2024</c:v>
                </c:pt>
                <c:pt idx="33">
                  <c:v>2025</c:v>
                </c:pt>
                <c:pt idx="34">
                  <c:v>2026</c:v>
                </c:pt>
              </c:strCache>
            </c:strRef>
          </c:cat>
          <c:val>
            <c:numRef>
              <c:f>Y!$Q$3:$Q$38</c:f>
              <c:numCache>
                <c:formatCode>General</c:formatCode>
                <c:ptCount val="35"/>
                <c:pt idx="0">
                  <c:v>1</c:v>
                </c:pt>
                <c:pt idx="1">
                  <c:v>7</c:v>
                </c:pt>
                <c:pt idx="2">
                  <c:v>1</c:v>
                </c:pt>
                <c:pt idx="3">
                  <c:v>2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10</c:v>
                </c:pt>
                <c:pt idx="9">
                  <c:v>6</c:v>
                </c:pt>
                <c:pt idx="10">
                  <c:v>4</c:v>
                </c:pt>
                <c:pt idx="11">
                  <c:v>7</c:v>
                </c:pt>
                <c:pt idx="12">
                  <c:v>8</c:v>
                </c:pt>
                <c:pt idx="13">
                  <c:v>17</c:v>
                </c:pt>
                <c:pt idx="14">
                  <c:v>15</c:v>
                </c:pt>
                <c:pt idx="15">
                  <c:v>6</c:v>
                </c:pt>
                <c:pt idx="16">
                  <c:v>7</c:v>
                </c:pt>
                <c:pt idx="17">
                  <c:v>17</c:v>
                </c:pt>
                <c:pt idx="18">
                  <c:v>12</c:v>
                </c:pt>
                <c:pt idx="19">
                  <c:v>35</c:v>
                </c:pt>
                <c:pt idx="20">
                  <c:v>31</c:v>
                </c:pt>
                <c:pt idx="21">
                  <c:v>8</c:v>
                </c:pt>
                <c:pt idx="22">
                  <c:v>28</c:v>
                </c:pt>
                <c:pt idx="23">
                  <c:v>14</c:v>
                </c:pt>
                <c:pt idx="24">
                  <c:v>16</c:v>
                </c:pt>
                <c:pt idx="25">
                  <c:v>32</c:v>
                </c:pt>
                <c:pt idx="26">
                  <c:v>21</c:v>
                </c:pt>
                <c:pt idx="27">
                  <c:v>18</c:v>
                </c:pt>
                <c:pt idx="28">
                  <c:v>15</c:v>
                </c:pt>
                <c:pt idx="29">
                  <c:v>29</c:v>
                </c:pt>
                <c:pt idx="30">
                  <c:v>16</c:v>
                </c:pt>
                <c:pt idx="31">
                  <c:v>21</c:v>
                </c:pt>
                <c:pt idx="32">
                  <c:v>1</c:v>
                </c:pt>
                <c:pt idx="33">
                  <c:v>22</c:v>
                </c:pt>
                <c:pt idx="3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B2-49A3-900A-28F29713B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2846591"/>
        <c:axId val="552847551"/>
      </c:barChart>
      <c:catAx>
        <c:axId val="5528465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552847551"/>
        <c:crosses val="autoZero"/>
        <c:auto val="1"/>
        <c:lblAlgn val="ctr"/>
        <c:lblOffset val="100"/>
        <c:noMultiLvlLbl val="0"/>
      </c:catAx>
      <c:valAx>
        <c:axId val="55284755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52846591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DO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[Music_Streaming_Analytics.xlsx]Y!CanciosXaño</c:name>
    <c:fmtId val="3"/>
  </c:pivotSource>
  <c:chart>
    <c:title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1AD760"/>
          </a:solidFill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76200">
            <a:solidFill>
              <a:srgbClr val="1AD760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76200" cap="rnd" cmpd="sng">
            <a:solidFill>
              <a:srgbClr val="1AD760"/>
            </a:solidFill>
            <a:miter lim="800000"/>
          </a:ln>
          <a:effectLst>
            <a:softEdge rad="0"/>
          </a:effectLst>
        </c:spP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Y!$T$2</c:f>
              <c:strCache>
                <c:ptCount val="1"/>
                <c:pt idx="0">
                  <c:v>Total</c:v>
                </c:pt>
              </c:strCache>
            </c:strRef>
          </c:tx>
          <c:spPr>
            <a:ln w="76200">
              <a:solidFill>
                <a:srgbClr val="1AD760"/>
              </a:solidFill>
            </a:ln>
            <a:effectLst/>
          </c:spPr>
          <c:marker>
            <c:symbol val="none"/>
          </c:marker>
          <c:dPt>
            <c:idx val="3"/>
            <c:bubble3D val="0"/>
            <c:spPr>
              <a:ln w="76200" cap="rnd" cmpd="sng">
                <a:solidFill>
                  <a:srgbClr val="1AD760"/>
                </a:solidFill>
                <a:miter lim="800000"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B8E6-40DC-BFE6-F0559A602D36}"/>
              </c:ext>
            </c:extLst>
          </c:dPt>
          <c:cat>
            <c:strRef>
              <c:f>Y!$S$3:$S$7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2026</c:v>
                </c:pt>
              </c:strCache>
            </c:strRef>
          </c:cat>
          <c:val>
            <c:numRef>
              <c:f>Y!$T$3:$T$7</c:f>
              <c:numCache>
                <c:formatCode>General</c:formatCode>
                <c:ptCount val="4"/>
                <c:pt idx="0">
                  <c:v>143</c:v>
                </c:pt>
                <c:pt idx="1">
                  <c:v>15</c:v>
                </c:pt>
                <c:pt idx="2">
                  <c:v>9</c:v>
                </c:pt>
                <c:pt idx="3">
                  <c:v>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44-477A-985A-135F5EF0F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2846591"/>
        <c:axId val="552847551"/>
      </c:lineChart>
      <c:catAx>
        <c:axId val="5528465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552847551"/>
        <c:crosses val="autoZero"/>
        <c:auto val="1"/>
        <c:lblAlgn val="ctr"/>
        <c:lblOffset val="100"/>
        <c:noMultiLvlLbl val="0"/>
      </c:catAx>
      <c:valAx>
        <c:axId val="55284755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52846591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DO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13" Type="http://schemas.openxmlformats.org/officeDocument/2006/relationships/chart" Target="../charts/chart6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5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4.xml"/><Relationship Id="rId5" Type="http://schemas.openxmlformats.org/officeDocument/2006/relationships/image" Target="../media/image5.png"/><Relationship Id="rId10" Type="http://schemas.openxmlformats.org/officeDocument/2006/relationships/chart" Target="../charts/chart3.xml"/><Relationship Id="rId4" Type="http://schemas.openxmlformats.org/officeDocument/2006/relationships/image" Target="../media/image4.png"/><Relationship Id="rId9" Type="http://schemas.openxmlformats.org/officeDocument/2006/relationships/chart" Target="../charts/chart2.xml"/><Relationship Id="rId1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0</xdr:row>
      <xdr:rowOff>184963</xdr:rowOff>
    </xdr:from>
    <xdr:to>
      <xdr:col>5</xdr:col>
      <xdr:colOff>152400</xdr:colOff>
      <xdr:row>6</xdr:row>
      <xdr:rowOff>142874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1041A5AF-9D38-4BAA-28C7-CF390F58E4F5}"/>
            </a:ext>
          </a:extLst>
        </xdr:cNvPr>
        <xdr:cNvGrpSpPr/>
      </xdr:nvGrpSpPr>
      <xdr:grpSpPr>
        <a:xfrm>
          <a:off x="285750" y="184963"/>
          <a:ext cx="3676650" cy="1100911"/>
          <a:chOff x="57150" y="108764"/>
          <a:chExt cx="2990850" cy="863946"/>
        </a:xfrm>
      </xdr:grpSpPr>
      <xdr:pic>
        <xdr:nvPicPr>
          <xdr:cNvPr id="3" name="Imagen 2" descr="Logo de Spotify: la historia y el significado del logotipo, la marca y el  símbolo. | png, vector">
            <a:extLst>
              <a:ext uri="{FF2B5EF4-FFF2-40B4-BE49-F238E27FC236}">
                <a16:creationId xmlns:a16="http://schemas.microsoft.com/office/drawing/2014/main" id="{0DDC71A3-E796-A9C7-CB64-568775AB035C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1167" b="20625"/>
          <a:stretch/>
        </xdr:blipFill>
        <xdr:spPr bwMode="auto">
          <a:xfrm>
            <a:off x="57150" y="108764"/>
            <a:ext cx="2286000" cy="74848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37D73B15-7AD6-E012-90C6-4393ECCA6474}"/>
              </a:ext>
            </a:extLst>
          </xdr:cNvPr>
          <xdr:cNvSpPr txBox="1"/>
        </xdr:nvSpPr>
        <xdr:spPr>
          <a:xfrm>
            <a:off x="762000" y="661214"/>
            <a:ext cx="2286000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s-DO" sz="1400" b="1">
                <a:solidFill>
                  <a:schemeClr val="bg1"/>
                </a:solidFill>
              </a:rPr>
              <a:t>DASHBOARD ANALYTICS</a:t>
            </a:r>
          </a:p>
        </xdr:txBody>
      </xdr:sp>
    </xdr:grpSp>
    <xdr:clientData/>
  </xdr:twoCellAnchor>
  <xdr:twoCellAnchor>
    <xdr:from>
      <xdr:col>4</xdr:col>
      <xdr:colOff>752475</xdr:colOff>
      <xdr:row>1</xdr:row>
      <xdr:rowOff>128587</xdr:rowOff>
    </xdr:from>
    <xdr:to>
      <xdr:col>7</xdr:col>
      <xdr:colOff>257175</xdr:colOff>
      <xdr:row>6</xdr:row>
      <xdr:rowOff>52387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C7EB9884-F998-6B7E-E354-94308DD91184}"/>
            </a:ext>
          </a:extLst>
        </xdr:cNvPr>
        <xdr:cNvGrpSpPr/>
      </xdr:nvGrpSpPr>
      <xdr:grpSpPr>
        <a:xfrm>
          <a:off x="3800475" y="319087"/>
          <a:ext cx="1790700" cy="876300"/>
          <a:chOff x="3000375" y="247650"/>
          <a:chExt cx="1790700" cy="876300"/>
        </a:xfrm>
      </xdr:grpSpPr>
      <xdr:sp macro="" textlink="$C$13">
        <xdr:nvSpPr>
          <xdr:cNvPr id="5" name="Rectángulo: esquinas redondeadas 4">
            <a:extLst>
              <a:ext uri="{FF2B5EF4-FFF2-40B4-BE49-F238E27FC236}">
                <a16:creationId xmlns:a16="http://schemas.microsoft.com/office/drawing/2014/main" id="{18110665-8C38-8200-DCA3-91AAC491AD7B}"/>
              </a:ext>
            </a:extLst>
          </xdr:cNvPr>
          <xdr:cNvSpPr/>
        </xdr:nvSpPr>
        <xdr:spPr>
          <a:xfrm>
            <a:off x="3000375" y="247650"/>
            <a:ext cx="1790700" cy="876300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8F252783-D51F-4A5F-BCCC-E19269BAB588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l"/>
              <a:t> </a:t>
            </a:fld>
            <a:endParaRPr lang="es-DO" sz="1100"/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45FBE1FB-4ABF-4652-A257-65EE583D8C6F}"/>
              </a:ext>
            </a:extLst>
          </xdr:cNvPr>
          <xdr:cNvSpPr txBox="1"/>
        </xdr:nvSpPr>
        <xdr:spPr>
          <a:xfrm>
            <a:off x="3524249" y="318314"/>
            <a:ext cx="1228725" cy="2488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DO" sz="1000" b="1" cap="all">
                <a:solidFill>
                  <a:schemeClr val="bg1"/>
                </a:solidFill>
              </a:rPr>
              <a:t>Total</a:t>
            </a:r>
            <a:r>
              <a:rPr lang="es-DO" sz="1000" b="1" cap="all" baseline="0">
                <a:solidFill>
                  <a:schemeClr val="bg1"/>
                </a:solidFill>
              </a:rPr>
              <a:t> canciones</a:t>
            </a:r>
            <a:endParaRPr lang="es-DO" sz="1000" b="1" cap="all">
              <a:solidFill>
                <a:schemeClr val="bg1"/>
              </a:solidFill>
            </a:endParaRPr>
          </a:p>
        </xdr:txBody>
      </xdr:sp>
      <xdr:sp macro="" textlink="Y!$A$3">
        <xdr:nvSpPr>
          <xdr:cNvPr id="9" name="CuadroTexto 8">
            <a:extLst>
              <a:ext uri="{FF2B5EF4-FFF2-40B4-BE49-F238E27FC236}">
                <a16:creationId xmlns:a16="http://schemas.microsoft.com/office/drawing/2014/main" id="{E480F2E4-9B0C-4428-BDED-1BED970CAC6E}"/>
              </a:ext>
            </a:extLst>
          </xdr:cNvPr>
          <xdr:cNvSpPr txBox="1"/>
        </xdr:nvSpPr>
        <xdr:spPr>
          <a:xfrm>
            <a:off x="3524250" y="499289"/>
            <a:ext cx="1238250" cy="46801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indent="0" algn="l"/>
            <a:fld id="{E06B287D-B4BA-4CFF-91D4-9DE0AC53F9C0}" type="TxLink">
              <a:rPr lang="en-US" sz="2400" b="1" cap="all">
                <a:solidFill>
                  <a:schemeClr val="bg1"/>
                </a:solidFill>
                <a:latin typeface="+mn-lt"/>
                <a:ea typeface="+mn-ea"/>
                <a:cs typeface="+mn-cs"/>
              </a:rPr>
              <a:pPr marL="0" indent="0" algn="l"/>
              <a:t>479</a:t>
            </a:fld>
            <a:endParaRPr lang="es-DO" sz="2400" b="1" cap="all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F6E6BE17-BC7D-429A-8CE1-5C5D84814994}"/>
              </a:ext>
            </a:extLst>
          </xdr:cNvPr>
          <xdr:cNvSpPr txBox="1"/>
        </xdr:nvSpPr>
        <xdr:spPr>
          <a:xfrm>
            <a:off x="3524250" y="813614"/>
            <a:ext cx="1209675" cy="2488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DO" sz="1000" b="0" cap="all">
                <a:solidFill>
                  <a:schemeClr val="bg1"/>
                </a:solidFill>
              </a:rPr>
              <a:t>canciones</a:t>
            </a:r>
          </a:p>
        </xdr:txBody>
      </xdr:sp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B36E82C7-D0ED-BFEB-5DB7-FB18B869CC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05151" y="495301"/>
            <a:ext cx="390524" cy="390524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409575</xdr:colOff>
      <xdr:row>1</xdr:row>
      <xdr:rowOff>128587</xdr:rowOff>
    </xdr:from>
    <xdr:to>
      <xdr:col>9</xdr:col>
      <xdr:colOff>676275</xdr:colOff>
      <xdr:row>6</xdr:row>
      <xdr:rowOff>52387</xdr:rowOff>
    </xdr:to>
    <xdr:grpSp>
      <xdr:nvGrpSpPr>
        <xdr:cNvPr id="15" name="artista">
          <a:extLst>
            <a:ext uri="{FF2B5EF4-FFF2-40B4-BE49-F238E27FC236}">
              <a16:creationId xmlns:a16="http://schemas.microsoft.com/office/drawing/2014/main" id="{BB4AFAA7-97FB-4502-B93B-B0B8ABEC6F25}"/>
            </a:ext>
          </a:extLst>
        </xdr:cNvPr>
        <xdr:cNvGrpSpPr/>
      </xdr:nvGrpSpPr>
      <xdr:grpSpPr>
        <a:xfrm>
          <a:off x="5743575" y="319087"/>
          <a:ext cx="1790700" cy="876300"/>
          <a:chOff x="3000375" y="247650"/>
          <a:chExt cx="1790700" cy="876300"/>
        </a:xfrm>
      </xdr:grpSpPr>
      <xdr:sp macro="" textlink="$C$13">
        <xdr:nvSpPr>
          <xdr:cNvPr id="16" name="Rectángulo: esquinas redondeadas 15">
            <a:extLst>
              <a:ext uri="{FF2B5EF4-FFF2-40B4-BE49-F238E27FC236}">
                <a16:creationId xmlns:a16="http://schemas.microsoft.com/office/drawing/2014/main" id="{52FFE57A-0EE4-BA1E-1968-E08EF58FC0F5}"/>
              </a:ext>
            </a:extLst>
          </xdr:cNvPr>
          <xdr:cNvSpPr/>
        </xdr:nvSpPr>
        <xdr:spPr>
          <a:xfrm>
            <a:off x="3000375" y="247650"/>
            <a:ext cx="1790700" cy="876300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8F252783-D51F-4A5F-BCCC-E19269BAB588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l"/>
              <a:t> </a:t>
            </a:fld>
            <a:endParaRPr lang="es-DO" sz="1100"/>
          </a:p>
        </xdr:txBody>
      </xdr:sp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0863EDA4-A0FB-8415-477E-CCACD560BD58}"/>
              </a:ext>
            </a:extLst>
          </xdr:cNvPr>
          <xdr:cNvSpPr txBox="1"/>
        </xdr:nvSpPr>
        <xdr:spPr>
          <a:xfrm>
            <a:off x="3524250" y="318314"/>
            <a:ext cx="1228725" cy="2488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DO" sz="1000" b="1" cap="all">
                <a:solidFill>
                  <a:schemeClr val="bg1"/>
                </a:solidFill>
              </a:rPr>
              <a:t>Total</a:t>
            </a:r>
            <a:r>
              <a:rPr lang="es-DO" sz="1000" b="1" cap="all" baseline="0">
                <a:solidFill>
                  <a:schemeClr val="bg1"/>
                </a:solidFill>
              </a:rPr>
              <a:t> artistas</a:t>
            </a:r>
            <a:endParaRPr lang="es-DO" sz="1000" b="1" cap="all">
              <a:solidFill>
                <a:schemeClr val="bg1"/>
              </a:solidFill>
            </a:endParaRPr>
          </a:p>
        </xdr:txBody>
      </xdr:sp>
      <xdr:sp macro="" textlink="Y!$A$5">
        <xdr:nvSpPr>
          <xdr:cNvPr id="18" name="CuadroTexto 17">
            <a:extLst>
              <a:ext uri="{FF2B5EF4-FFF2-40B4-BE49-F238E27FC236}">
                <a16:creationId xmlns:a16="http://schemas.microsoft.com/office/drawing/2014/main" id="{054A52FA-79F6-C2E2-6982-B09B41AAA022}"/>
              </a:ext>
            </a:extLst>
          </xdr:cNvPr>
          <xdr:cNvSpPr txBox="1"/>
        </xdr:nvSpPr>
        <xdr:spPr>
          <a:xfrm>
            <a:off x="3524250" y="499289"/>
            <a:ext cx="1238250" cy="46801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indent="0" algn="l"/>
            <a:fld id="{0B2F59B4-4746-448E-B585-4BF548B5B36B}" type="TxLink">
              <a:rPr lang="en-US" sz="2400" b="1" i="0" u="none" strike="noStrike" cap="all">
                <a:solidFill>
                  <a:schemeClr val="bg1"/>
                </a:solidFill>
                <a:latin typeface="+mn-lt"/>
                <a:ea typeface="+mn-ea"/>
                <a:cs typeface="+mn-cs"/>
              </a:rPr>
              <a:pPr marL="0" indent="0" algn="l"/>
              <a:t>35</a:t>
            </a:fld>
            <a:endParaRPr lang="es-DO" sz="2400" b="1" cap="all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9" name="CuadroTexto 18">
            <a:extLst>
              <a:ext uri="{FF2B5EF4-FFF2-40B4-BE49-F238E27FC236}">
                <a16:creationId xmlns:a16="http://schemas.microsoft.com/office/drawing/2014/main" id="{D73AA7A3-77C6-5417-55ED-3DFB9A0AC847}"/>
              </a:ext>
            </a:extLst>
          </xdr:cNvPr>
          <xdr:cNvSpPr txBox="1"/>
        </xdr:nvSpPr>
        <xdr:spPr>
          <a:xfrm>
            <a:off x="3524250" y="813614"/>
            <a:ext cx="1209675" cy="2488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DO" sz="1000" b="0" cap="all">
                <a:solidFill>
                  <a:schemeClr val="bg1"/>
                </a:solidFill>
              </a:rPr>
              <a:t>artistas</a:t>
            </a:r>
          </a:p>
        </xdr:txBody>
      </xdr:sp>
    </xdr:grpSp>
    <xdr:clientData/>
  </xdr:twoCellAnchor>
  <xdr:twoCellAnchor>
    <xdr:from>
      <xdr:col>10</xdr:col>
      <xdr:colOff>66675</xdr:colOff>
      <xdr:row>1</xdr:row>
      <xdr:rowOff>128587</xdr:rowOff>
    </xdr:from>
    <xdr:to>
      <xdr:col>12</xdr:col>
      <xdr:colOff>333375</xdr:colOff>
      <xdr:row>6</xdr:row>
      <xdr:rowOff>52387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id="{6E88B46E-9DF7-4A63-A694-C2C17FDB8368}"/>
            </a:ext>
          </a:extLst>
        </xdr:cNvPr>
        <xdr:cNvGrpSpPr/>
      </xdr:nvGrpSpPr>
      <xdr:grpSpPr>
        <a:xfrm>
          <a:off x="7686675" y="319087"/>
          <a:ext cx="1790700" cy="876300"/>
          <a:chOff x="3000375" y="247650"/>
          <a:chExt cx="1790700" cy="876300"/>
        </a:xfrm>
      </xdr:grpSpPr>
      <xdr:sp macro="" textlink="$C$13">
        <xdr:nvSpPr>
          <xdr:cNvPr id="22" name="Rectángulo: esquinas redondeadas 21">
            <a:extLst>
              <a:ext uri="{FF2B5EF4-FFF2-40B4-BE49-F238E27FC236}">
                <a16:creationId xmlns:a16="http://schemas.microsoft.com/office/drawing/2014/main" id="{ED878526-AE98-568E-CDB7-9637C6896060}"/>
              </a:ext>
            </a:extLst>
          </xdr:cNvPr>
          <xdr:cNvSpPr/>
        </xdr:nvSpPr>
        <xdr:spPr>
          <a:xfrm>
            <a:off x="3000375" y="247650"/>
            <a:ext cx="1790700" cy="876300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8F252783-D51F-4A5F-BCCC-E19269BAB588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l"/>
              <a:t> </a:t>
            </a:fld>
            <a:endParaRPr lang="es-DO" sz="1100"/>
          </a:p>
        </xdr:txBody>
      </xdr:sp>
      <xdr:sp macro="" textlink="">
        <xdr:nvSpPr>
          <xdr:cNvPr id="23" name="CuadroTexto 22">
            <a:extLst>
              <a:ext uri="{FF2B5EF4-FFF2-40B4-BE49-F238E27FC236}">
                <a16:creationId xmlns:a16="http://schemas.microsoft.com/office/drawing/2014/main" id="{5649EC00-6857-F88D-0915-063A7040AAD7}"/>
              </a:ext>
            </a:extLst>
          </xdr:cNvPr>
          <xdr:cNvSpPr txBox="1"/>
        </xdr:nvSpPr>
        <xdr:spPr>
          <a:xfrm>
            <a:off x="3524250" y="318314"/>
            <a:ext cx="1228725" cy="2488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DO" sz="1000" b="1" cap="all">
                <a:solidFill>
                  <a:schemeClr val="bg1"/>
                </a:solidFill>
              </a:rPr>
              <a:t>Total</a:t>
            </a:r>
            <a:r>
              <a:rPr lang="es-DO" sz="1000" b="1" cap="all" baseline="0">
                <a:solidFill>
                  <a:schemeClr val="bg1"/>
                </a:solidFill>
              </a:rPr>
              <a:t>  álbumes</a:t>
            </a:r>
            <a:endParaRPr lang="es-DO" sz="1000" b="1" cap="all">
              <a:solidFill>
                <a:schemeClr val="bg1"/>
              </a:solidFill>
            </a:endParaRPr>
          </a:p>
        </xdr:txBody>
      </xdr:sp>
      <xdr:sp macro="" textlink="Y!$A$7">
        <xdr:nvSpPr>
          <xdr:cNvPr id="24" name="CuadroTexto 23">
            <a:extLst>
              <a:ext uri="{FF2B5EF4-FFF2-40B4-BE49-F238E27FC236}">
                <a16:creationId xmlns:a16="http://schemas.microsoft.com/office/drawing/2014/main" id="{DC2D9DD3-7C50-7EF6-FD1B-EEB30D2E5B89}"/>
              </a:ext>
            </a:extLst>
          </xdr:cNvPr>
          <xdr:cNvSpPr txBox="1"/>
        </xdr:nvSpPr>
        <xdr:spPr>
          <a:xfrm>
            <a:off x="3514725" y="499289"/>
            <a:ext cx="1238250" cy="46801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indent="0" algn="l"/>
            <a:fld id="{36279287-B921-412A-8715-789DA71E9C2B}" type="TxLink">
              <a:rPr lang="en-US" sz="2400" b="1" i="0" u="none" strike="noStrike" cap="all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pPr marL="0" indent="0" algn="l"/>
              <a:t>193</a:t>
            </a:fld>
            <a:endParaRPr lang="es-DO" sz="2400" b="1" cap="all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5" name="CuadroTexto 24">
            <a:extLst>
              <a:ext uri="{FF2B5EF4-FFF2-40B4-BE49-F238E27FC236}">
                <a16:creationId xmlns:a16="http://schemas.microsoft.com/office/drawing/2014/main" id="{466574BD-30D8-A17F-490C-64A9E6A79DAE}"/>
              </a:ext>
            </a:extLst>
          </xdr:cNvPr>
          <xdr:cNvSpPr txBox="1"/>
        </xdr:nvSpPr>
        <xdr:spPr>
          <a:xfrm>
            <a:off x="3524250" y="813614"/>
            <a:ext cx="1209675" cy="2488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DO" sz="1000" b="0" cap="all">
                <a:solidFill>
                  <a:schemeClr val="bg1"/>
                </a:solidFill>
              </a:rPr>
              <a:t>albumes</a:t>
            </a:r>
          </a:p>
        </xdr:txBody>
      </xdr:sp>
    </xdr:grpSp>
    <xdr:clientData/>
  </xdr:twoCellAnchor>
  <xdr:twoCellAnchor>
    <xdr:from>
      <xdr:col>12</xdr:col>
      <xdr:colOff>485775</xdr:colOff>
      <xdr:row>1</xdr:row>
      <xdr:rowOff>128587</xdr:rowOff>
    </xdr:from>
    <xdr:to>
      <xdr:col>15</xdr:col>
      <xdr:colOff>314324</xdr:colOff>
      <xdr:row>6</xdr:row>
      <xdr:rowOff>52387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73171F57-D9F6-4F05-8183-067A2E415A46}"/>
            </a:ext>
          </a:extLst>
        </xdr:cNvPr>
        <xdr:cNvGrpSpPr/>
      </xdr:nvGrpSpPr>
      <xdr:grpSpPr>
        <a:xfrm>
          <a:off x="9629775" y="319087"/>
          <a:ext cx="2114549" cy="876300"/>
          <a:chOff x="3000375" y="247650"/>
          <a:chExt cx="2114549" cy="876300"/>
        </a:xfrm>
      </xdr:grpSpPr>
      <xdr:sp macro="" textlink="$C$13">
        <xdr:nvSpPr>
          <xdr:cNvPr id="28" name="Rectángulo: esquinas redondeadas 27">
            <a:extLst>
              <a:ext uri="{FF2B5EF4-FFF2-40B4-BE49-F238E27FC236}">
                <a16:creationId xmlns:a16="http://schemas.microsoft.com/office/drawing/2014/main" id="{886E3DB1-5E05-57C4-B792-C405C1DC1D81}"/>
              </a:ext>
            </a:extLst>
          </xdr:cNvPr>
          <xdr:cNvSpPr/>
        </xdr:nvSpPr>
        <xdr:spPr>
          <a:xfrm>
            <a:off x="3000375" y="247650"/>
            <a:ext cx="1924050" cy="876300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8F252783-D51F-4A5F-BCCC-E19269BAB588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l"/>
              <a:t> </a:t>
            </a:fld>
            <a:endParaRPr lang="es-DO" sz="1100"/>
          </a:p>
        </xdr:txBody>
      </xdr:sp>
      <xdr:sp macro="" textlink="">
        <xdr:nvSpPr>
          <xdr:cNvPr id="29" name="CuadroTexto 28">
            <a:extLst>
              <a:ext uri="{FF2B5EF4-FFF2-40B4-BE49-F238E27FC236}">
                <a16:creationId xmlns:a16="http://schemas.microsoft.com/office/drawing/2014/main" id="{303A3552-D20B-CDF3-1FCE-FC20FAEF3B75}"/>
              </a:ext>
            </a:extLst>
          </xdr:cNvPr>
          <xdr:cNvSpPr txBox="1"/>
        </xdr:nvSpPr>
        <xdr:spPr>
          <a:xfrm>
            <a:off x="3524250" y="318314"/>
            <a:ext cx="1228725" cy="2488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DO" sz="1000" b="1" cap="all">
                <a:solidFill>
                  <a:schemeClr val="bg1"/>
                </a:solidFill>
              </a:rPr>
              <a:t>Duración</a:t>
            </a:r>
            <a:r>
              <a:rPr lang="es-DO" sz="1000" b="1" cap="all" baseline="0">
                <a:solidFill>
                  <a:schemeClr val="bg1"/>
                </a:solidFill>
              </a:rPr>
              <a:t> total</a:t>
            </a:r>
            <a:endParaRPr lang="es-DO" sz="1000" b="1" cap="all">
              <a:solidFill>
                <a:schemeClr val="bg1"/>
              </a:solidFill>
            </a:endParaRPr>
          </a:p>
        </xdr:txBody>
      </xdr:sp>
      <xdr:sp macro="" textlink="Y!$A$9">
        <xdr:nvSpPr>
          <xdr:cNvPr id="30" name="CuadroTexto 29">
            <a:extLst>
              <a:ext uri="{FF2B5EF4-FFF2-40B4-BE49-F238E27FC236}">
                <a16:creationId xmlns:a16="http://schemas.microsoft.com/office/drawing/2014/main" id="{B9C43E5F-98DE-8B76-0966-4F20F3054854}"/>
              </a:ext>
            </a:extLst>
          </xdr:cNvPr>
          <xdr:cNvSpPr txBox="1"/>
        </xdr:nvSpPr>
        <xdr:spPr>
          <a:xfrm>
            <a:off x="3524249" y="499289"/>
            <a:ext cx="1590675" cy="46801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indent="0" algn="l"/>
            <a:fld id="{E164C9AD-9156-4301-980C-511EE506F535}" type="TxLink">
              <a:rPr lang="en-US" sz="2400" b="1" i="0" u="none" strike="noStrike" cap="all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pPr marL="0" indent="0" algn="l"/>
              <a:t>31:36:35</a:t>
            </a:fld>
            <a:endParaRPr lang="es-DO" sz="2400" b="1" cap="all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1" name="CuadroTexto 30">
            <a:extLst>
              <a:ext uri="{FF2B5EF4-FFF2-40B4-BE49-F238E27FC236}">
                <a16:creationId xmlns:a16="http://schemas.microsoft.com/office/drawing/2014/main" id="{E935C7E8-7C59-C1D0-540A-CC1095669AB9}"/>
              </a:ext>
            </a:extLst>
          </xdr:cNvPr>
          <xdr:cNvSpPr txBox="1"/>
        </xdr:nvSpPr>
        <xdr:spPr>
          <a:xfrm>
            <a:off x="3524250" y="813614"/>
            <a:ext cx="1209675" cy="2488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DO" sz="1000" b="0" cap="all">
                <a:solidFill>
                  <a:schemeClr val="bg1"/>
                </a:solidFill>
              </a:rPr>
              <a:t>tiempo</a:t>
            </a:r>
          </a:p>
        </xdr:txBody>
      </xdr:sp>
      <xdr:pic>
        <xdr:nvPicPr>
          <xdr:cNvPr id="32" name="Imagen 31">
            <a:extLst>
              <a:ext uri="{FF2B5EF4-FFF2-40B4-BE49-F238E27FC236}">
                <a16:creationId xmlns:a16="http://schemas.microsoft.com/office/drawing/2014/main" id="{5F51BE19-4C3B-4D6A-76C2-649FB3222E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105151" y="495301"/>
            <a:ext cx="390524" cy="390524"/>
          </a:xfrm>
          <a:prstGeom prst="rect">
            <a:avLst/>
          </a:prstGeom>
        </xdr:spPr>
      </xdr:pic>
    </xdr:grpSp>
    <xdr:clientData/>
  </xdr:twoCellAnchor>
  <xdr:twoCellAnchor>
    <xdr:from>
      <xdr:col>15</xdr:col>
      <xdr:colOff>257175</xdr:colOff>
      <xdr:row>1</xdr:row>
      <xdr:rowOff>128587</xdr:rowOff>
    </xdr:from>
    <xdr:to>
      <xdr:col>18</xdr:col>
      <xdr:colOff>66675</xdr:colOff>
      <xdr:row>6</xdr:row>
      <xdr:rowOff>52387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id="{EAD08EFC-040D-48BA-B300-CDF398C3FCCB}"/>
            </a:ext>
          </a:extLst>
        </xdr:cNvPr>
        <xdr:cNvGrpSpPr/>
      </xdr:nvGrpSpPr>
      <xdr:grpSpPr>
        <a:xfrm>
          <a:off x="11687175" y="319087"/>
          <a:ext cx="2095500" cy="876300"/>
          <a:chOff x="3000375" y="247650"/>
          <a:chExt cx="2095500" cy="876300"/>
        </a:xfrm>
      </xdr:grpSpPr>
      <xdr:sp macro="" textlink="$C$13">
        <xdr:nvSpPr>
          <xdr:cNvPr id="34" name="Rectángulo: esquinas redondeadas 33">
            <a:extLst>
              <a:ext uri="{FF2B5EF4-FFF2-40B4-BE49-F238E27FC236}">
                <a16:creationId xmlns:a16="http://schemas.microsoft.com/office/drawing/2014/main" id="{C8246BF2-B29D-5043-9CA4-73A19913C3B8}"/>
              </a:ext>
            </a:extLst>
          </xdr:cNvPr>
          <xdr:cNvSpPr/>
        </xdr:nvSpPr>
        <xdr:spPr>
          <a:xfrm>
            <a:off x="3000375" y="247650"/>
            <a:ext cx="2028825" cy="876300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8F252783-D51F-4A5F-BCCC-E19269BAB588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l"/>
              <a:t> </a:t>
            </a:fld>
            <a:endParaRPr lang="es-DO" sz="1100"/>
          </a:p>
        </xdr:txBody>
      </xdr:sp>
      <xdr:sp macro="" textlink="">
        <xdr:nvSpPr>
          <xdr:cNvPr id="35" name="CuadroTexto 34">
            <a:extLst>
              <a:ext uri="{FF2B5EF4-FFF2-40B4-BE49-F238E27FC236}">
                <a16:creationId xmlns:a16="http://schemas.microsoft.com/office/drawing/2014/main" id="{FF776A01-2414-E8D0-0A67-9B5DF0C5FFD0}"/>
              </a:ext>
            </a:extLst>
          </xdr:cNvPr>
          <xdr:cNvSpPr txBox="1"/>
        </xdr:nvSpPr>
        <xdr:spPr>
          <a:xfrm>
            <a:off x="3524250" y="318314"/>
            <a:ext cx="1571625" cy="2488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DO" sz="1000" b="1" cap="all">
                <a:solidFill>
                  <a:schemeClr val="bg1"/>
                </a:solidFill>
              </a:rPr>
              <a:t>popularidad promedio</a:t>
            </a:r>
          </a:p>
        </xdr:txBody>
      </xdr:sp>
      <xdr:sp macro="" textlink="Y!$A$13">
        <xdr:nvSpPr>
          <xdr:cNvPr id="36" name="CuadroTexto 35">
            <a:extLst>
              <a:ext uri="{FF2B5EF4-FFF2-40B4-BE49-F238E27FC236}">
                <a16:creationId xmlns:a16="http://schemas.microsoft.com/office/drawing/2014/main" id="{B7528650-00B3-BDBC-C9E6-54C6CBB5C7D1}"/>
              </a:ext>
            </a:extLst>
          </xdr:cNvPr>
          <xdr:cNvSpPr txBox="1"/>
        </xdr:nvSpPr>
        <xdr:spPr>
          <a:xfrm>
            <a:off x="3524250" y="499289"/>
            <a:ext cx="1238250" cy="46801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indent="0" algn="l"/>
            <a:fld id="{2BC68AA2-1947-45DC-9C59-5AE934953E44}" type="TxLink">
              <a:rPr lang="en-US" sz="2400" b="1" i="0" u="none" strike="noStrike" cap="all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pPr marL="0" indent="0" algn="l"/>
              <a:t>44.55</a:t>
            </a:fld>
            <a:endParaRPr lang="es-DO" sz="2400" b="1" cap="all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7" name="CuadroTexto 36">
            <a:extLst>
              <a:ext uri="{FF2B5EF4-FFF2-40B4-BE49-F238E27FC236}">
                <a16:creationId xmlns:a16="http://schemas.microsoft.com/office/drawing/2014/main" id="{4A47FD8B-7446-2FAE-A6DC-F70EBE95D8F5}"/>
              </a:ext>
            </a:extLst>
          </xdr:cNvPr>
          <xdr:cNvSpPr txBox="1"/>
        </xdr:nvSpPr>
        <xdr:spPr>
          <a:xfrm>
            <a:off x="3524250" y="813614"/>
            <a:ext cx="1209675" cy="2488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DO" sz="1000" b="0" cap="all">
                <a:solidFill>
                  <a:schemeClr val="bg1"/>
                </a:solidFill>
              </a:rPr>
              <a:t>de 100</a:t>
            </a:r>
          </a:p>
        </xdr:txBody>
      </xdr:sp>
      <xdr:pic>
        <xdr:nvPicPr>
          <xdr:cNvPr id="38" name="Imagen 37">
            <a:extLst>
              <a:ext uri="{FF2B5EF4-FFF2-40B4-BE49-F238E27FC236}">
                <a16:creationId xmlns:a16="http://schemas.microsoft.com/office/drawing/2014/main" id="{423AB505-5999-364A-1C7A-A074CB4D9D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105151" y="495301"/>
            <a:ext cx="390524" cy="390524"/>
          </a:xfrm>
          <a:prstGeom prst="rect">
            <a:avLst/>
          </a:prstGeom>
        </xdr:spPr>
      </xdr:pic>
    </xdr:grpSp>
    <xdr:clientData/>
  </xdr:twoCellAnchor>
  <xdr:twoCellAnchor>
    <xdr:from>
      <xdr:col>18</xdr:col>
      <xdr:colOff>200025</xdr:colOff>
      <xdr:row>1</xdr:row>
      <xdr:rowOff>128587</xdr:rowOff>
    </xdr:from>
    <xdr:to>
      <xdr:col>20</xdr:col>
      <xdr:colOff>466725</xdr:colOff>
      <xdr:row>6</xdr:row>
      <xdr:rowOff>52387</xdr:rowOff>
    </xdr:to>
    <xdr:grpSp>
      <xdr:nvGrpSpPr>
        <xdr:cNvPr id="39" name="Grupo 38">
          <a:extLst>
            <a:ext uri="{FF2B5EF4-FFF2-40B4-BE49-F238E27FC236}">
              <a16:creationId xmlns:a16="http://schemas.microsoft.com/office/drawing/2014/main" id="{C038686D-2B65-4543-AD68-FC028067F14C}"/>
            </a:ext>
          </a:extLst>
        </xdr:cNvPr>
        <xdr:cNvGrpSpPr/>
      </xdr:nvGrpSpPr>
      <xdr:grpSpPr>
        <a:xfrm>
          <a:off x="13916025" y="319087"/>
          <a:ext cx="1790700" cy="876300"/>
          <a:chOff x="3000375" y="247650"/>
          <a:chExt cx="1790700" cy="876300"/>
        </a:xfrm>
      </xdr:grpSpPr>
      <xdr:sp macro="" textlink="$C$13">
        <xdr:nvSpPr>
          <xdr:cNvPr id="40" name="Rectángulo: esquinas redondeadas 39">
            <a:extLst>
              <a:ext uri="{FF2B5EF4-FFF2-40B4-BE49-F238E27FC236}">
                <a16:creationId xmlns:a16="http://schemas.microsoft.com/office/drawing/2014/main" id="{C48C2FB6-1788-53EA-CD94-67BA0DBC9A8C}"/>
              </a:ext>
            </a:extLst>
          </xdr:cNvPr>
          <xdr:cNvSpPr/>
        </xdr:nvSpPr>
        <xdr:spPr>
          <a:xfrm>
            <a:off x="3000375" y="247650"/>
            <a:ext cx="1790700" cy="876300"/>
          </a:xfrm>
          <a:prstGeom prst="roundRect">
            <a:avLst/>
          </a:prstGeom>
          <a:solidFill>
            <a:schemeClr val="tx1">
              <a:lumMod val="85000"/>
              <a:lumOff val="15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8F252783-D51F-4A5F-BCCC-E19269BAB588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l"/>
              <a:t> </a:t>
            </a:fld>
            <a:endParaRPr lang="es-DO" sz="1100"/>
          </a:p>
        </xdr:txBody>
      </xdr:sp>
      <xdr:sp macro="" textlink="">
        <xdr:nvSpPr>
          <xdr:cNvPr id="41" name="CuadroTexto 40">
            <a:extLst>
              <a:ext uri="{FF2B5EF4-FFF2-40B4-BE49-F238E27FC236}">
                <a16:creationId xmlns:a16="http://schemas.microsoft.com/office/drawing/2014/main" id="{A40BB7E8-75CD-2B5A-B7F7-3100661314E3}"/>
              </a:ext>
            </a:extLst>
          </xdr:cNvPr>
          <xdr:cNvSpPr txBox="1"/>
        </xdr:nvSpPr>
        <xdr:spPr>
          <a:xfrm>
            <a:off x="3524250" y="318314"/>
            <a:ext cx="1228725" cy="2488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DO" sz="1000" b="1" cap="all">
                <a:solidFill>
                  <a:schemeClr val="bg1"/>
                </a:solidFill>
              </a:rPr>
              <a:t>% explicítas</a:t>
            </a:r>
          </a:p>
        </xdr:txBody>
      </xdr:sp>
      <xdr:sp macro="" textlink="Y!$A$19">
        <xdr:nvSpPr>
          <xdr:cNvPr id="42" name="CuadroTexto 41">
            <a:extLst>
              <a:ext uri="{FF2B5EF4-FFF2-40B4-BE49-F238E27FC236}">
                <a16:creationId xmlns:a16="http://schemas.microsoft.com/office/drawing/2014/main" id="{B80017EC-3783-21C7-5246-6A007C3D1CAA}"/>
              </a:ext>
            </a:extLst>
          </xdr:cNvPr>
          <xdr:cNvSpPr txBox="1"/>
        </xdr:nvSpPr>
        <xdr:spPr>
          <a:xfrm>
            <a:off x="3524250" y="499289"/>
            <a:ext cx="1238250" cy="46801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indent="0" algn="l"/>
            <a:fld id="{58AF1D36-D071-4018-A485-F66E20FBE777}" type="TxLink">
              <a:rPr lang="en-US" sz="2400" b="1" i="0" u="none" strike="noStrike" cap="all">
                <a:solidFill>
                  <a:schemeClr val="bg1"/>
                </a:solidFill>
                <a:latin typeface="Aptos Narrow"/>
                <a:ea typeface="+mn-ea"/>
                <a:cs typeface="+mn-cs"/>
              </a:rPr>
              <a:pPr marL="0" indent="0" algn="l"/>
              <a:t>0.2%</a:t>
            </a:fld>
            <a:endParaRPr lang="es-DO" sz="2400" b="1" cap="all">
              <a:solidFill>
                <a:schemeClr val="bg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3" name="CuadroTexto 42">
            <a:extLst>
              <a:ext uri="{FF2B5EF4-FFF2-40B4-BE49-F238E27FC236}">
                <a16:creationId xmlns:a16="http://schemas.microsoft.com/office/drawing/2014/main" id="{662CF067-3D8D-7F03-2E73-BE21142193C0}"/>
              </a:ext>
            </a:extLst>
          </xdr:cNvPr>
          <xdr:cNvSpPr txBox="1"/>
        </xdr:nvSpPr>
        <xdr:spPr>
          <a:xfrm>
            <a:off x="3524250" y="813614"/>
            <a:ext cx="1209675" cy="2488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s-DO" sz="1000" b="0" cap="all">
                <a:solidFill>
                  <a:schemeClr val="bg1"/>
                </a:solidFill>
              </a:rPr>
              <a:t>playlist</a:t>
            </a:r>
          </a:p>
        </xdr:txBody>
      </xdr:sp>
      <xdr:pic>
        <xdr:nvPicPr>
          <xdr:cNvPr id="44" name="Imagen 43">
            <a:extLst>
              <a:ext uri="{FF2B5EF4-FFF2-40B4-BE49-F238E27FC236}">
                <a16:creationId xmlns:a16="http://schemas.microsoft.com/office/drawing/2014/main" id="{DE430BC4-4EBF-262C-BB40-2B42CA5EBA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105151" y="495301"/>
            <a:ext cx="390524" cy="390524"/>
          </a:xfrm>
          <a:prstGeom prst="rect">
            <a:avLst/>
          </a:prstGeom>
        </xdr:spPr>
      </xdr:pic>
    </xdr:grpSp>
    <xdr:clientData/>
  </xdr:twoCellAnchor>
  <xdr:twoCellAnchor editAs="oneCell">
    <xdr:from>
      <xdr:col>7</xdr:col>
      <xdr:colOff>542925</xdr:colOff>
      <xdr:row>3</xdr:row>
      <xdr:rowOff>0</xdr:rowOff>
    </xdr:from>
    <xdr:to>
      <xdr:col>8</xdr:col>
      <xdr:colOff>173325</xdr:colOff>
      <xdr:row>5</xdr:row>
      <xdr:rowOff>11400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EC799D14-3D2F-7D7C-7029-4DA7E821E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6925" y="571500"/>
          <a:ext cx="392400" cy="392400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190500</xdr:colOff>
      <xdr:row>3</xdr:row>
      <xdr:rowOff>0</xdr:rowOff>
    </xdr:from>
    <xdr:to>
      <xdr:col>10</xdr:col>
      <xdr:colOff>582900</xdr:colOff>
      <xdr:row>5</xdr:row>
      <xdr:rowOff>11400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1F0372B5-04B0-6362-F2AF-10DBE7703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0" y="571500"/>
          <a:ext cx="392400" cy="392400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8</xdr:row>
      <xdr:rowOff>152401</xdr:rowOff>
    </xdr:from>
    <xdr:to>
      <xdr:col>20</xdr:col>
      <xdr:colOff>485774</xdr:colOff>
      <xdr:row>37</xdr:row>
      <xdr:rowOff>104776</xdr:rowOff>
    </xdr:to>
    <xdr:grpSp>
      <xdr:nvGrpSpPr>
        <xdr:cNvPr id="53" name="Grupo 52">
          <a:extLst>
            <a:ext uri="{FF2B5EF4-FFF2-40B4-BE49-F238E27FC236}">
              <a16:creationId xmlns:a16="http://schemas.microsoft.com/office/drawing/2014/main" id="{2BDF8C87-82A8-6338-C728-43850270D5BB}"/>
            </a:ext>
          </a:extLst>
        </xdr:cNvPr>
        <xdr:cNvGrpSpPr/>
      </xdr:nvGrpSpPr>
      <xdr:grpSpPr>
        <a:xfrm>
          <a:off x="152400" y="1676401"/>
          <a:ext cx="15573374" cy="5476875"/>
          <a:chOff x="171450" y="1428751"/>
          <a:chExt cx="15573374" cy="5476875"/>
        </a:xfrm>
      </xdr:grpSpPr>
      <xdr:graphicFrame macro="">
        <xdr:nvGraphicFramePr>
          <xdr:cNvPr id="60" name="Gráfico 59">
            <a:extLst>
              <a:ext uri="{FF2B5EF4-FFF2-40B4-BE49-F238E27FC236}">
                <a16:creationId xmlns:a16="http://schemas.microsoft.com/office/drawing/2014/main" id="{2694A49B-2A00-455A-B7BD-46B0041EB5A1}"/>
              </a:ext>
            </a:extLst>
          </xdr:cNvPr>
          <xdr:cNvGraphicFramePr>
            <a:graphicFrameLocks/>
          </xdr:cNvGraphicFramePr>
        </xdr:nvGraphicFramePr>
        <xdr:xfrm>
          <a:off x="8229600" y="4886326"/>
          <a:ext cx="3486150" cy="19621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pSp>
        <xdr:nvGrpSpPr>
          <xdr:cNvPr id="8" name="Grupo 7">
            <a:extLst>
              <a:ext uri="{FF2B5EF4-FFF2-40B4-BE49-F238E27FC236}">
                <a16:creationId xmlns:a16="http://schemas.microsoft.com/office/drawing/2014/main" id="{031EC922-A624-7CDA-79B2-65F76933112D}"/>
              </a:ext>
            </a:extLst>
          </xdr:cNvPr>
          <xdr:cNvGrpSpPr/>
        </xdr:nvGrpSpPr>
        <xdr:grpSpPr>
          <a:xfrm>
            <a:off x="237173" y="1457325"/>
            <a:ext cx="5259704" cy="3181350"/>
            <a:chOff x="104775" y="1543049"/>
            <a:chExt cx="4781549" cy="3181350"/>
          </a:xfrm>
        </xdr:grpSpPr>
        <xdr:graphicFrame macro="">
          <xdr:nvGraphicFramePr>
            <xdr:cNvPr id="57" name="Gráfico 56">
              <a:extLst>
                <a:ext uri="{FF2B5EF4-FFF2-40B4-BE49-F238E27FC236}">
                  <a16:creationId xmlns:a16="http://schemas.microsoft.com/office/drawing/2014/main" id="{99713C2D-141A-4BE6-A3EB-F40F77EEBCF7}"/>
                </a:ext>
              </a:extLst>
            </xdr:cNvPr>
            <xdr:cNvGraphicFramePr>
              <a:graphicFrameLocks/>
            </xdr:cNvGraphicFramePr>
          </xdr:nvGraphicFramePr>
          <xdr:xfrm>
            <a:off x="105640" y="1543049"/>
            <a:ext cx="4771159" cy="31623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sp macro="" textlink="$C$13">
          <xdr:nvSpPr>
            <xdr:cNvPr id="2" name="Rectángulo: esquinas redondeadas 1">
              <a:extLst>
                <a:ext uri="{FF2B5EF4-FFF2-40B4-BE49-F238E27FC236}">
                  <a16:creationId xmlns:a16="http://schemas.microsoft.com/office/drawing/2014/main" id="{BAE22ED8-F862-4111-9897-395C170CDD9E}"/>
                </a:ext>
              </a:extLst>
            </xdr:cNvPr>
            <xdr:cNvSpPr/>
          </xdr:nvSpPr>
          <xdr:spPr>
            <a:xfrm>
              <a:off x="104775" y="1543050"/>
              <a:ext cx="4781549" cy="3181349"/>
            </a:xfrm>
            <a:prstGeom prst="roundRect">
              <a:avLst/>
            </a:prstGeom>
            <a:noFill/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fld id="{8F252783-D51F-4A5F-BCCC-E19269BAB588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l"/>
                <a:t> </a:t>
              </a:fld>
              <a:endParaRPr lang="es-DO" sz="1100"/>
            </a:p>
          </xdr:txBody>
        </xdr:sp>
      </xdr:grpSp>
      <xdr:sp macro="" textlink="$C$13">
        <xdr:nvSpPr>
          <xdr:cNvPr id="26" name="Rectángulo: esquinas redondeadas 25">
            <a:extLst>
              <a:ext uri="{FF2B5EF4-FFF2-40B4-BE49-F238E27FC236}">
                <a16:creationId xmlns:a16="http://schemas.microsoft.com/office/drawing/2014/main" id="{5717344A-9839-4B94-8215-7875B1D03DE5}"/>
              </a:ext>
            </a:extLst>
          </xdr:cNvPr>
          <xdr:cNvSpPr/>
        </xdr:nvSpPr>
        <xdr:spPr>
          <a:xfrm>
            <a:off x="5757386" y="1447800"/>
            <a:ext cx="5259704" cy="3181349"/>
          </a:xfrm>
          <a:prstGeom prst="roundRect">
            <a:avLst/>
          </a:prstGeom>
          <a:noFill/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8F252783-D51F-4A5F-BCCC-E19269BAB588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l"/>
              <a:t> </a:t>
            </a:fld>
            <a:endParaRPr lang="es-DO" sz="1100"/>
          </a:p>
        </xdr:txBody>
      </xdr:sp>
      <xdr:sp macro="" textlink="$C$13">
        <xdr:nvSpPr>
          <xdr:cNvPr id="47" name="Rectángulo: esquinas redondeadas 46">
            <a:extLst>
              <a:ext uri="{FF2B5EF4-FFF2-40B4-BE49-F238E27FC236}">
                <a16:creationId xmlns:a16="http://schemas.microsoft.com/office/drawing/2014/main" id="{0B9FA2D5-D0EB-442B-AB0A-B7ED71018B2A}"/>
              </a:ext>
            </a:extLst>
          </xdr:cNvPr>
          <xdr:cNvSpPr/>
        </xdr:nvSpPr>
        <xdr:spPr>
          <a:xfrm>
            <a:off x="171450" y="4838702"/>
            <a:ext cx="7639050" cy="2009774"/>
          </a:xfrm>
          <a:prstGeom prst="roundRect">
            <a:avLst/>
          </a:prstGeom>
          <a:noFill/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8F252783-D51F-4A5F-BCCC-E19269BAB588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l"/>
              <a:t> </a:t>
            </a:fld>
            <a:endParaRPr lang="es-DO" sz="1100"/>
          </a:p>
        </xdr:txBody>
      </xdr:sp>
      <xdr:sp macro="" textlink="$C$13">
        <xdr:nvSpPr>
          <xdr:cNvPr id="11" name="Rectángulo: esquinas redondeadas 10">
            <a:extLst>
              <a:ext uri="{FF2B5EF4-FFF2-40B4-BE49-F238E27FC236}">
                <a16:creationId xmlns:a16="http://schemas.microsoft.com/office/drawing/2014/main" id="{7C9D096B-A565-4261-A1CF-79B33B1300A8}"/>
              </a:ext>
            </a:extLst>
          </xdr:cNvPr>
          <xdr:cNvSpPr/>
        </xdr:nvSpPr>
        <xdr:spPr>
          <a:xfrm>
            <a:off x="11277599" y="1428751"/>
            <a:ext cx="4467225" cy="3238500"/>
          </a:xfrm>
          <a:prstGeom prst="roundRect">
            <a:avLst/>
          </a:prstGeom>
          <a:noFill/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8F252783-D51F-4A5F-BCCC-E19269BAB588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l"/>
              <a:t> </a:t>
            </a:fld>
            <a:endParaRPr lang="es-DO" sz="1100"/>
          </a:p>
        </xdr:txBody>
      </xdr:sp>
      <xdr:sp macro="" textlink="$C$13">
        <xdr:nvSpPr>
          <xdr:cNvPr id="12" name="Rectángulo: esquinas redondeadas 11">
            <a:extLst>
              <a:ext uri="{FF2B5EF4-FFF2-40B4-BE49-F238E27FC236}">
                <a16:creationId xmlns:a16="http://schemas.microsoft.com/office/drawing/2014/main" id="{DD348698-6C61-4D53-9DAC-1EF93ADBA37B}"/>
              </a:ext>
            </a:extLst>
          </xdr:cNvPr>
          <xdr:cNvSpPr/>
        </xdr:nvSpPr>
        <xdr:spPr>
          <a:xfrm>
            <a:off x="8096250" y="4876802"/>
            <a:ext cx="3752850" cy="2009774"/>
          </a:xfrm>
          <a:prstGeom prst="roundRect">
            <a:avLst/>
          </a:prstGeom>
          <a:noFill/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8F252783-D51F-4A5F-BCCC-E19269BAB588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l"/>
              <a:t> </a:t>
            </a:fld>
            <a:endParaRPr lang="es-DO" sz="1100"/>
          </a:p>
        </xdr:txBody>
      </xdr:sp>
      <xdr:sp macro="" textlink="$C$13">
        <xdr:nvSpPr>
          <xdr:cNvPr id="20" name="Rectángulo: esquinas redondeadas 19">
            <a:extLst>
              <a:ext uri="{FF2B5EF4-FFF2-40B4-BE49-F238E27FC236}">
                <a16:creationId xmlns:a16="http://schemas.microsoft.com/office/drawing/2014/main" id="{EB9E9B44-E523-4C4A-A269-E79D77496B01}"/>
              </a:ext>
            </a:extLst>
          </xdr:cNvPr>
          <xdr:cNvSpPr/>
        </xdr:nvSpPr>
        <xdr:spPr>
          <a:xfrm>
            <a:off x="12134850" y="4895852"/>
            <a:ext cx="3600450" cy="2009774"/>
          </a:xfrm>
          <a:prstGeom prst="roundRect">
            <a:avLst/>
          </a:prstGeom>
          <a:noFill/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8F252783-D51F-4A5F-BCCC-E19269BAB588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l"/>
              <a:t> </a:t>
            </a:fld>
            <a:endParaRPr lang="es-DO" sz="1100"/>
          </a:p>
        </xdr:txBody>
      </xdr:sp>
    </xdr:grpSp>
    <xdr:clientData/>
  </xdr:twoCellAnchor>
  <xdr:twoCellAnchor>
    <xdr:from>
      <xdr:col>21</xdr:col>
      <xdr:colOff>19050</xdr:colOff>
      <xdr:row>2</xdr:row>
      <xdr:rowOff>1</xdr:rowOff>
    </xdr:from>
    <xdr:to>
      <xdr:col>23</xdr:col>
      <xdr:colOff>190499</xdr:colOff>
      <xdr:row>4</xdr:row>
      <xdr:rowOff>19050</xdr:rowOff>
    </xdr:to>
    <xdr:sp macro="" textlink="$C$13">
      <xdr:nvSpPr>
        <xdr:cNvPr id="45" name="Rectángulo: esquinas redondeadas 44">
          <a:extLst>
            <a:ext uri="{FF2B5EF4-FFF2-40B4-BE49-F238E27FC236}">
              <a16:creationId xmlns:a16="http://schemas.microsoft.com/office/drawing/2014/main" id="{F2B6745B-942B-4660-8ED4-3C6A0C4D72AC}"/>
            </a:ext>
          </a:extLst>
        </xdr:cNvPr>
        <xdr:cNvSpPr/>
      </xdr:nvSpPr>
      <xdr:spPr>
        <a:xfrm>
          <a:off x="16021050" y="381001"/>
          <a:ext cx="1695449" cy="400049"/>
        </a:xfrm>
        <a:prstGeom prst="roundRect">
          <a:avLst/>
        </a:prstGeom>
        <a:solidFill>
          <a:srgbClr val="1AD7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F252783-D51F-4A5F-BCCC-E19269BAB588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 </a:t>
          </a:fld>
          <a:endParaRPr lang="es-DO" sz="1100"/>
        </a:p>
      </xdr:txBody>
    </xdr:sp>
    <xdr:clientData/>
  </xdr:twoCellAnchor>
  <xdr:twoCellAnchor>
    <xdr:from>
      <xdr:col>7</xdr:col>
      <xdr:colOff>400050</xdr:colOff>
      <xdr:row>8</xdr:row>
      <xdr:rowOff>123825</xdr:rowOff>
    </xdr:from>
    <xdr:to>
      <xdr:col>14</xdr:col>
      <xdr:colOff>323850</xdr:colOff>
      <xdr:row>25</xdr:row>
      <xdr:rowOff>47625</xdr:rowOff>
    </xdr:to>
    <xdr:graphicFrame macro="">
      <xdr:nvGraphicFramePr>
        <xdr:cNvPr id="63" name="Gráfico 62">
          <a:extLst>
            <a:ext uri="{FF2B5EF4-FFF2-40B4-BE49-F238E27FC236}">
              <a16:creationId xmlns:a16="http://schemas.microsoft.com/office/drawing/2014/main" id="{88815483-C8B9-49BA-A695-1849F7E23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666750</xdr:colOff>
      <xdr:row>26</xdr:row>
      <xdr:rowOff>123824</xdr:rowOff>
    </xdr:from>
    <xdr:to>
      <xdr:col>20</xdr:col>
      <xdr:colOff>476250</xdr:colOff>
      <xdr:row>37</xdr:row>
      <xdr:rowOff>47625</xdr:rowOff>
    </xdr:to>
    <xdr:graphicFrame macro="">
      <xdr:nvGraphicFramePr>
        <xdr:cNvPr id="64" name="Gráfico 63">
          <a:extLst>
            <a:ext uri="{FF2B5EF4-FFF2-40B4-BE49-F238E27FC236}">
              <a16:creationId xmlns:a16="http://schemas.microsoft.com/office/drawing/2014/main" id="{AC7ACD23-6161-4C85-8386-C34E3BA49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590550</xdr:colOff>
      <xdr:row>8</xdr:row>
      <xdr:rowOff>114300</xdr:rowOff>
    </xdr:from>
    <xdr:to>
      <xdr:col>20</xdr:col>
      <xdr:colOff>476250</xdr:colOff>
      <xdr:row>25</xdr:row>
      <xdr:rowOff>95250</xdr:rowOff>
    </xdr:to>
    <xdr:graphicFrame macro="">
      <xdr:nvGraphicFramePr>
        <xdr:cNvPr id="65" name="Gráfico 64">
          <a:extLst>
            <a:ext uri="{FF2B5EF4-FFF2-40B4-BE49-F238E27FC236}">
              <a16:creationId xmlns:a16="http://schemas.microsoft.com/office/drawing/2014/main" id="{F04A84EA-9D9D-43AE-85F3-CE4314FBDD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161926</xdr:colOff>
      <xdr:row>26</xdr:row>
      <xdr:rowOff>114300</xdr:rowOff>
    </xdr:from>
    <xdr:to>
      <xdr:col>10</xdr:col>
      <xdr:colOff>171450</xdr:colOff>
      <xdr:row>37</xdr:row>
      <xdr:rowOff>38100</xdr:rowOff>
    </xdr:to>
    <xdr:graphicFrame macro="">
      <xdr:nvGraphicFramePr>
        <xdr:cNvPr id="66" name="Gráfico 65">
          <a:extLst>
            <a:ext uri="{FF2B5EF4-FFF2-40B4-BE49-F238E27FC236}">
              <a16:creationId xmlns:a16="http://schemas.microsoft.com/office/drawing/2014/main" id="{4D6386A3-8A53-47AD-9003-1F5D1A32F2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447676</xdr:colOff>
      <xdr:row>26</xdr:row>
      <xdr:rowOff>152400</xdr:rowOff>
    </xdr:from>
    <xdr:to>
      <xdr:col>15</xdr:col>
      <xdr:colOff>409576</xdr:colOff>
      <xdr:row>37</xdr:row>
      <xdr:rowOff>57150</xdr:rowOff>
    </xdr:to>
    <xdr:graphicFrame macro="">
      <xdr:nvGraphicFramePr>
        <xdr:cNvPr id="67" name="Gráfico 66">
          <a:extLst>
            <a:ext uri="{FF2B5EF4-FFF2-40B4-BE49-F238E27FC236}">
              <a16:creationId xmlns:a16="http://schemas.microsoft.com/office/drawing/2014/main" id="{3C703CE4-2013-42D8-BC13-CAF5EC127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21</xdr:col>
      <xdr:colOff>28575</xdr:colOff>
      <xdr:row>1</xdr:row>
      <xdr:rowOff>184963</xdr:rowOff>
    </xdr:from>
    <xdr:to>
      <xdr:col>23</xdr:col>
      <xdr:colOff>214312</xdr:colOff>
      <xdr:row>37</xdr:row>
      <xdr:rowOff>57150</xdr:rowOff>
    </xdr:to>
    <xdr:grpSp>
      <xdr:nvGrpSpPr>
        <xdr:cNvPr id="74" name="Grupo 73">
          <a:extLst>
            <a:ext uri="{FF2B5EF4-FFF2-40B4-BE49-F238E27FC236}">
              <a16:creationId xmlns:a16="http://schemas.microsoft.com/office/drawing/2014/main" id="{B9466F40-0DDC-B22B-DC2C-A72DD831CED1}"/>
            </a:ext>
          </a:extLst>
        </xdr:cNvPr>
        <xdr:cNvGrpSpPr/>
      </xdr:nvGrpSpPr>
      <xdr:grpSpPr>
        <a:xfrm>
          <a:off x="16030575" y="375463"/>
          <a:ext cx="1709737" cy="6730187"/>
          <a:chOff x="15954375" y="375463"/>
          <a:chExt cx="1709737" cy="6730187"/>
        </a:xfrm>
      </xdr:grpSpPr>
      <xdr:sp macro="" textlink="">
        <xdr:nvSpPr>
          <xdr:cNvPr id="46" name="CuadroTexto 45">
            <a:extLst>
              <a:ext uri="{FF2B5EF4-FFF2-40B4-BE49-F238E27FC236}">
                <a16:creationId xmlns:a16="http://schemas.microsoft.com/office/drawing/2014/main" id="{6220FEFA-4046-4C3B-8CBE-51E91376341A}"/>
              </a:ext>
            </a:extLst>
          </xdr:cNvPr>
          <xdr:cNvSpPr txBox="1"/>
        </xdr:nvSpPr>
        <xdr:spPr>
          <a:xfrm>
            <a:off x="15963900" y="375463"/>
            <a:ext cx="1657350" cy="39693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s-DO" sz="1400" b="1">
                <a:solidFill>
                  <a:schemeClr val="bg1"/>
                </a:solidFill>
              </a:rPr>
              <a:t>FILTROS</a:t>
            </a:r>
          </a:p>
        </xdr:txBody>
      </xdr:sp>
      <xdr:grpSp>
        <xdr:nvGrpSpPr>
          <xdr:cNvPr id="70" name="Grupo 69">
            <a:extLst>
              <a:ext uri="{FF2B5EF4-FFF2-40B4-BE49-F238E27FC236}">
                <a16:creationId xmlns:a16="http://schemas.microsoft.com/office/drawing/2014/main" id="{995712E3-CD0D-0828-FACF-D156A2B3FF90}"/>
              </a:ext>
            </a:extLst>
          </xdr:cNvPr>
          <xdr:cNvGrpSpPr/>
        </xdr:nvGrpSpPr>
        <xdr:grpSpPr>
          <a:xfrm>
            <a:off x="15954375" y="872405"/>
            <a:ext cx="1704975" cy="2118446"/>
            <a:chOff x="15944850" y="2552699"/>
            <a:chExt cx="1704975" cy="2346735"/>
          </a:xfrm>
        </xdr:grpSpPr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56" name="Artista Principal">
                  <a:extLst>
                    <a:ext uri="{FF2B5EF4-FFF2-40B4-BE49-F238E27FC236}">
                      <a16:creationId xmlns:a16="http://schemas.microsoft.com/office/drawing/2014/main" id="{240E9BBD-E451-43ED-8595-2D5DB979255F}"/>
                    </a:ext>
                  </a:extLst>
                </xdr:cNvPr>
                <xdr:cNvGraphicFramePr/>
              </xdr:nvGraphicFramePr>
              <xdr:xfrm>
                <a:off x="15944850" y="3575704"/>
                <a:ext cx="1695450" cy="1323730"/>
              </xdr:xfrm>
              <a:graphic>
                <a:graphicData uri="http://schemas.microsoft.com/office/drawing/2010/slicer">
                  <sle:slicer xmlns:sle="http://schemas.microsoft.com/office/drawing/2010/slicer" name="Artista Principal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6030575" y="1795893"/>
                  <a:ext cx="1695450" cy="1194958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es-DO" sz="1100"/>
  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  </a: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68" name="Año de lanzamiento del álbum">
                  <a:extLst>
                    <a:ext uri="{FF2B5EF4-FFF2-40B4-BE49-F238E27FC236}">
                      <a16:creationId xmlns:a16="http://schemas.microsoft.com/office/drawing/2014/main" id="{712C8C05-CA09-0999-DE02-FDE13E425BDD}"/>
                    </a:ext>
                  </a:extLst>
                </xdr:cNvPr>
                <xdr:cNvGraphicFramePr/>
              </xdr:nvGraphicFramePr>
              <xdr:xfrm>
                <a:off x="15954374" y="2552699"/>
                <a:ext cx="1695451" cy="1033625"/>
              </xdr:xfrm>
              <a:graphic>
                <a:graphicData uri="http://schemas.microsoft.com/office/drawing/2010/slicer">
                  <sle:slicer xmlns:sle="http://schemas.microsoft.com/office/drawing/2010/slicer" name="Año de lanzamiento del álbum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6040099" y="872405"/>
                  <a:ext cx="1695451" cy="933075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es-DO" sz="1100"/>
  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  </a:r>
                </a:p>
              </xdr:txBody>
            </xdr:sp>
          </mc:Fallback>
        </mc:AlternateContent>
      </xdr:grpSp>
      <xdr:grpSp>
        <xdr:nvGrpSpPr>
          <xdr:cNvPr id="73" name="Grupo 72">
            <a:extLst>
              <a:ext uri="{FF2B5EF4-FFF2-40B4-BE49-F238E27FC236}">
                <a16:creationId xmlns:a16="http://schemas.microsoft.com/office/drawing/2014/main" id="{0FD4B8B9-2BBB-82C7-1A9D-B414056824A0}"/>
              </a:ext>
            </a:extLst>
          </xdr:cNvPr>
          <xdr:cNvGrpSpPr/>
        </xdr:nvGrpSpPr>
        <xdr:grpSpPr>
          <a:xfrm>
            <a:off x="15959137" y="3042463"/>
            <a:ext cx="1704975" cy="4063187"/>
            <a:chOff x="15959137" y="3128188"/>
            <a:chExt cx="1704975" cy="4063187"/>
          </a:xfrm>
        </xdr:grpSpPr>
        <xdr:sp macro="" textlink="">
          <xdr:nvSpPr>
            <xdr:cNvPr id="48" name="CuadroTexto 47">
              <a:extLst>
                <a:ext uri="{FF2B5EF4-FFF2-40B4-BE49-F238E27FC236}">
                  <a16:creationId xmlns:a16="http://schemas.microsoft.com/office/drawing/2014/main" id="{D8C8D63C-8621-42A7-A681-B5A62029CA4D}"/>
                </a:ext>
              </a:extLst>
            </xdr:cNvPr>
            <xdr:cNvSpPr txBox="1"/>
          </xdr:nvSpPr>
          <xdr:spPr>
            <a:xfrm>
              <a:off x="15959137" y="3128188"/>
              <a:ext cx="1695450" cy="3969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es-DO" sz="1400">
                  <a:solidFill>
                    <a:schemeClr val="bg1"/>
                  </a:solidFill>
                </a:rPr>
                <a:t>Insights</a:t>
              </a:r>
              <a:endParaRPr lang="es-DO" sz="1400" b="1">
                <a:solidFill>
                  <a:schemeClr val="bg1"/>
                </a:solidFill>
              </a:endParaRPr>
            </a:p>
          </xdr:txBody>
        </xdr:sp>
        <xdr:sp macro="" textlink="Y!B40">
          <xdr:nvSpPr>
            <xdr:cNvPr id="49" name="CuadroTexto 48">
              <a:extLst>
                <a:ext uri="{FF2B5EF4-FFF2-40B4-BE49-F238E27FC236}">
                  <a16:creationId xmlns:a16="http://schemas.microsoft.com/office/drawing/2014/main" id="{088DC041-464C-40F2-91EC-3D4A205C3FB7}"/>
                </a:ext>
              </a:extLst>
            </xdr:cNvPr>
            <xdr:cNvSpPr txBox="1"/>
          </xdr:nvSpPr>
          <xdr:spPr>
            <a:xfrm>
              <a:off x="15968662" y="3666096"/>
              <a:ext cx="1695450" cy="500837"/>
            </a:xfrm>
            <a:prstGeom prst="roundRect">
              <a:avLst/>
            </a:prstGeom>
            <a:noFill/>
            <a:ln w="19050">
              <a:solidFill>
                <a:srgbClr val="1EFB7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fld id="{9A636394-4851-4E4F-A483-C3C70B1B3C8D}" type="TxLink">
                <a:rPr lang="en-US" sz="1100" b="0" i="0" u="none" strike="noStrike">
                  <a:solidFill>
                    <a:schemeClr val="bg1"/>
                  </a:solidFill>
                  <a:latin typeface="Aptos Narrow"/>
                </a:rPr>
                <a:pPr algn="ctr"/>
                <a:t>Planta 7 (feat. Vicente Amigo)</a:t>
              </a:fld>
              <a:endParaRPr lang="es-DO" sz="1200" b="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51" name="CuadroTexto 50">
              <a:extLst>
                <a:ext uri="{FF2B5EF4-FFF2-40B4-BE49-F238E27FC236}">
                  <a16:creationId xmlns:a16="http://schemas.microsoft.com/office/drawing/2014/main" id="{2ADC117E-E5ED-49EC-AD50-748F8E8BA7D8}"/>
                </a:ext>
              </a:extLst>
            </xdr:cNvPr>
            <xdr:cNvSpPr txBox="1"/>
          </xdr:nvSpPr>
          <xdr:spPr>
            <a:xfrm>
              <a:off x="15973424" y="3438446"/>
              <a:ext cx="1685926" cy="200026"/>
            </a:xfrm>
            <a:prstGeom prst="round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es-DO" sz="1050" b="0">
                  <a:solidFill>
                    <a:srgbClr val="1EFB70"/>
                  </a:solidFill>
                </a:rPr>
                <a:t>Canción más</a:t>
              </a:r>
              <a:r>
                <a:rPr lang="es-DO" sz="1050" b="0" baseline="0">
                  <a:solidFill>
                    <a:srgbClr val="1EFB70"/>
                  </a:solidFill>
                </a:rPr>
                <a:t> larga</a:t>
              </a:r>
              <a:endParaRPr lang="es-DO" sz="1050" b="0">
                <a:solidFill>
                  <a:srgbClr val="1EFB70"/>
                </a:solidFill>
              </a:endParaRPr>
            </a:p>
          </xdr:txBody>
        </xdr:sp>
        <xdr:sp macro="" textlink="Y!B41">
          <xdr:nvSpPr>
            <xdr:cNvPr id="59" name="CuadroTexto 58">
              <a:extLst>
                <a:ext uri="{FF2B5EF4-FFF2-40B4-BE49-F238E27FC236}">
                  <a16:creationId xmlns:a16="http://schemas.microsoft.com/office/drawing/2014/main" id="{AFFA5912-29E4-4021-B852-112D08FD1357}"/>
                </a:ext>
              </a:extLst>
            </xdr:cNvPr>
            <xdr:cNvSpPr txBox="1"/>
          </xdr:nvSpPr>
          <xdr:spPr>
            <a:xfrm>
              <a:off x="15968662" y="4422207"/>
              <a:ext cx="1695450" cy="500837"/>
            </a:xfrm>
            <a:prstGeom prst="roundRect">
              <a:avLst/>
            </a:prstGeom>
            <a:noFill/>
            <a:ln w="19050">
              <a:solidFill>
                <a:srgbClr val="1EFB7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fld id="{1F1889B2-7A01-4B8D-A3E4-79D61B8FF54A}" type="TxLink">
                <a:rPr lang="en-US" sz="1100" b="0" i="0" u="none" strike="noStrike">
                  <a:solidFill>
                    <a:schemeClr val="bg1"/>
                  </a:solidFill>
                  <a:latin typeface="Aptos Narrow"/>
                </a:rPr>
                <a:pPr algn="ctr"/>
                <a:t>Rosas</a:t>
              </a:fld>
              <a:endParaRPr lang="es-DO" sz="1200" b="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61" name="CuadroTexto 60">
              <a:extLst>
                <a:ext uri="{FF2B5EF4-FFF2-40B4-BE49-F238E27FC236}">
                  <a16:creationId xmlns:a16="http://schemas.microsoft.com/office/drawing/2014/main" id="{7D2D4BC4-1B5C-4776-9431-2BD7AB7E1961}"/>
                </a:ext>
              </a:extLst>
            </xdr:cNvPr>
            <xdr:cNvSpPr txBox="1"/>
          </xdr:nvSpPr>
          <xdr:spPr>
            <a:xfrm>
              <a:off x="15973424" y="4194557"/>
              <a:ext cx="1685926" cy="200026"/>
            </a:xfrm>
            <a:prstGeom prst="round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es-DO" sz="1050" b="0">
                  <a:solidFill>
                    <a:srgbClr val="1EFB70"/>
                  </a:solidFill>
                </a:rPr>
                <a:t>Canción más</a:t>
              </a:r>
              <a:r>
                <a:rPr lang="es-DO" sz="1050" b="0" baseline="0">
                  <a:solidFill>
                    <a:srgbClr val="1EFB70"/>
                  </a:solidFill>
                </a:rPr>
                <a:t> popular</a:t>
              </a:r>
              <a:endParaRPr lang="es-DO" sz="1050" b="0">
                <a:solidFill>
                  <a:srgbClr val="1EFB70"/>
                </a:solidFill>
              </a:endParaRPr>
            </a:p>
          </xdr:txBody>
        </xdr:sp>
        <xdr:sp macro="" textlink="Y!B42">
          <xdr:nvSpPr>
            <xdr:cNvPr id="50" name="CuadroTexto 49">
              <a:extLst>
                <a:ext uri="{FF2B5EF4-FFF2-40B4-BE49-F238E27FC236}">
                  <a16:creationId xmlns:a16="http://schemas.microsoft.com/office/drawing/2014/main" id="{B471C61A-4253-4EB8-A1DD-A57B90F500F0}"/>
                </a:ext>
              </a:extLst>
            </xdr:cNvPr>
            <xdr:cNvSpPr txBox="1"/>
          </xdr:nvSpPr>
          <xdr:spPr>
            <a:xfrm>
              <a:off x="15968662" y="5178318"/>
              <a:ext cx="1695450" cy="500837"/>
            </a:xfrm>
            <a:prstGeom prst="roundRect">
              <a:avLst/>
            </a:prstGeom>
            <a:noFill/>
            <a:ln w="19050">
              <a:solidFill>
                <a:srgbClr val="1EFB7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fld id="{BC971420-8FF1-41F0-A46F-430107FCFE40}" type="TxLink">
                <a:rPr lang="en-US" sz="1100" b="0" i="0" u="none" strike="noStrike">
                  <a:solidFill>
                    <a:schemeClr val="bg1"/>
                  </a:solidFill>
                  <a:latin typeface="Aptos Narrow"/>
                </a:rPr>
                <a:pPr algn="ctr"/>
                <a:t>Te invito</a:t>
              </a:fld>
              <a:endParaRPr lang="es-DO" sz="1200" b="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55" name="CuadroTexto 54">
              <a:extLst>
                <a:ext uri="{FF2B5EF4-FFF2-40B4-BE49-F238E27FC236}">
                  <a16:creationId xmlns:a16="http://schemas.microsoft.com/office/drawing/2014/main" id="{54675F70-F1A2-4639-B903-9077E5098461}"/>
                </a:ext>
              </a:extLst>
            </xdr:cNvPr>
            <xdr:cNvSpPr txBox="1"/>
          </xdr:nvSpPr>
          <xdr:spPr>
            <a:xfrm>
              <a:off x="15973424" y="4950668"/>
              <a:ext cx="1685926" cy="200026"/>
            </a:xfrm>
            <a:prstGeom prst="round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es-DO" sz="1050" b="0">
                  <a:solidFill>
                    <a:srgbClr val="1EFB70"/>
                  </a:solidFill>
                </a:rPr>
                <a:t>Canción más</a:t>
              </a:r>
              <a:r>
                <a:rPr lang="es-DO" sz="1050" b="0" baseline="0">
                  <a:solidFill>
                    <a:srgbClr val="1EFB70"/>
                  </a:solidFill>
                </a:rPr>
                <a:t> corta</a:t>
              </a:r>
              <a:endParaRPr lang="es-DO" sz="1050" b="0">
                <a:solidFill>
                  <a:srgbClr val="1EFB70"/>
                </a:solidFill>
              </a:endParaRPr>
            </a:p>
          </xdr:txBody>
        </xdr:sp>
        <xdr:sp macro="" textlink="Y!B43">
          <xdr:nvSpPr>
            <xdr:cNvPr id="58" name="CuadroTexto 57">
              <a:extLst>
                <a:ext uri="{FF2B5EF4-FFF2-40B4-BE49-F238E27FC236}">
                  <a16:creationId xmlns:a16="http://schemas.microsoft.com/office/drawing/2014/main" id="{67F4EAE7-6FAB-4C70-A2EE-56BFBE83591B}"/>
                </a:ext>
              </a:extLst>
            </xdr:cNvPr>
            <xdr:cNvSpPr txBox="1"/>
          </xdr:nvSpPr>
          <xdr:spPr>
            <a:xfrm>
              <a:off x="15968662" y="5934429"/>
              <a:ext cx="1695450" cy="500837"/>
            </a:xfrm>
            <a:prstGeom prst="roundRect">
              <a:avLst/>
            </a:prstGeom>
            <a:noFill/>
            <a:ln w="19050">
              <a:solidFill>
                <a:srgbClr val="1EFB7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fld id="{0F8937FA-6C3D-4B73-BB6E-2E400C4E3D49}" type="TxLink">
                <a:rPr lang="en-US" sz="1100" b="0" i="0" u="none" strike="noStrike">
                  <a:solidFill>
                    <a:schemeClr val="bg1"/>
                  </a:solidFill>
                  <a:latin typeface="Aptos Narrow"/>
                </a:rPr>
                <a:pPr algn="ctr"/>
                <a:t>Cenizas en la eternidad</a:t>
              </a:fld>
              <a:endParaRPr lang="es-DO" sz="1200" b="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62" name="CuadroTexto 61">
              <a:extLst>
                <a:ext uri="{FF2B5EF4-FFF2-40B4-BE49-F238E27FC236}">
                  <a16:creationId xmlns:a16="http://schemas.microsoft.com/office/drawing/2014/main" id="{078C7832-ACE4-4A37-B9F2-105758CAF7D0}"/>
                </a:ext>
              </a:extLst>
            </xdr:cNvPr>
            <xdr:cNvSpPr txBox="1"/>
          </xdr:nvSpPr>
          <xdr:spPr>
            <a:xfrm>
              <a:off x="15973424" y="5706779"/>
              <a:ext cx="1685926" cy="200026"/>
            </a:xfrm>
            <a:prstGeom prst="round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es-DO" sz="1050" b="0">
                  <a:solidFill>
                    <a:srgbClr val="1EFB70"/>
                  </a:solidFill>
                </a:rPr>
                <a:t>Canción menos</a:t>
              </a:r>
              <a:r>
                <a:rPr lang="es-DO" sz="1050" b="0" baseline="0">
                  <a:solidFill>
                    <a:srgbClr val="1EFB70"/>
                  </a:solidFill>
                </a:rPr>
                <a:t> popular</a:t>
              </a:r>
              <a:endParaRPr lang="es-DO" sz="1050" b="0">
                <a:solidFill>
                  <a:srgbClr val="1EFB70"/>
                </a:solidFill>
              </a:endParaRPr>
            </a:p>
          </xdr:txBody>
        </xdr:sp>
        <xdr:sp macro="" textlink="Y!B44">
          <xdr:nvSpPr>
            <xdr:cNvPr id="71" name="CuadroTexto 70">
              <a:extLst>
                <a:ext uri="{FF2B5EF4-FFF2-40B4-BE49-F238E27FC236}">
                  <a16:creationId xmlns:a16="http://schemas.microsoft.com/office/drawing/2014/main" id="{9C8B7FCE-A30F-49E1-8C75-943C6D075B6D}"/>
                </a:ext>
              </a:extLst>
            </xdr:cNvPr>
            <xdr:cNvSpPr txBox="1"/>
          </xdr:nvSpPr>
          <xdr:spPr>
            <a:xfrm>
              <a:off x="15968662" y="6690538"/>
              <a:ext cx="1695450" cy="500837"/>
            </a:xfrm>
            <a:prstGeom prst="roundRect">
              <a:avLst/>
            </a:prstGeom>
            <a:noFill/>
            <a:ln w="19050">
              <a:solidFill>
                <a:srgbClr val="1EFB7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fld id="{869E89A5-AD4D-4331-BEE0-D64B8A9F7ED1}" type="TxLink">
                <a:rPr lang="en-US" sz="1100" b="0" i="0" u="none" strike="noStrike">
                  <a:solidFill>
                    <a:schemeClr val="bg1"/>
                  </a:solidFill>
                  <a:latin typeface="Aptos Narrow"/>
                </a:rPr>
                <a:pPr algn="ctr"/>
                <a:t>Yo me veo contigo</a:t>
              </a:fld>
              <a:endParaRPr lang="es-DO" sz="1200" b="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72" name="CuadroTexto 71">
              <a:extLst>
                <a:ext uri="{FF2B5EF4-FFF2-40B4-BE49-F238E27FC236}">
                  <a16:creationId xmlns:a16="http://schemas.microsoft.com/office/drawing/2014/main" id="{D5EC5164-D56B-4E44-B5BD-DEE90541F115}"/>
                </a:ext>
              </a:extLst>
            </xdr:cNvPr>
            <xdr:cNvSpPr txBox="1"/>
          </xdr:nvSpPr>
          <xdr:spPr>
            <a:xfrm>
              <a:off x="15973424" y="6462890"/>
              <a:ext cx="1685926" cy="200026"/>
            </a:xfrm>
            <a:prstGeom prst="round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algn="ctr"/>
              <a:r>
                <a:rPr lang="es-DO" sz="1050" b="0">
                  <a:solidFill>
                    <a:srgbClr val="1EFB70"/>
                  </a:solidFill>
                </a:rPr>
                <a:t>Albúm</a:t>
              </a:r>
              <a:r>
                <a:rPr lang="es-DO" sz="1050" b="0" baseline="0">
                  <a:solidFill>
                    <a:srgbClr val="1EFB70"/>
                  </a:solidFill>
                </a:rPr>
                <a:t> con más canciones</a:t>
              </a:r>
              <a:endParaRPr lang="es-DO" sz="1050" b="0">
                <a:solidFill>
                  <a:srgbClr val="1EFB70"/>
                </a:solidFill>
              </a:endParaRPr>
            </a:p>
          </xdr:txBody>
        </xdr:sp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LLELI-PC" refreshedDate="46252.861835532407" createdVersion="8" refreshedVersion="8" minRefreshableVersion="3" recordCount="479" xr:uid="{1B8A414F-18FE-4A6C-B55B-254CE6C5F012}">
  <cacheSource type="worksheet">
    <worksheetSource name="spotify"/>
  </cacheSource>
  <cacheFields count="14">
    <cacheField name="Nombre de la canción" numFmtId="0">
      <sharedItems/>
    </cacheField>
    <cacheField name="Nombre(s) del artista" numFmtId="0">
      <sharedItems/>
    </cacheField>
    <cacheField name="Artista Principal" numFmtId="0">
      <sharedItems count="35">
        <s v="Melendi"/>
        <s v="Alejandro Sanz"/>
        <s v="Pablo Alborán"/>
        <s v="Niña Pastori"/>
        <s v="Ricardo Arjona"/>
        <s v="Maldita Nerea"/>
        <s v="Carla Morrison"/>
        <s v="Reyli Barba"/>
        <s v="Ricky Martin"/>
        <s v="Alex Ubago"/>
        <s v="Maná"/>
        <s v="Chayanne"/>
        <s v="Alejandro Fernández"/>
        <s v="Enrique Iglesias"/>
        <s v="Sin Bandera"/>
        <s v="Gaby Moreno"/>
        <s v="Jesse &amp; Joy"/>
        <s v="David Bisbal"/>
        <s v="Franco De Vita"/>
        <s v="Laura Pausini"/>
        <s v="Emmanuel"/>
        <s v="La Oreja de Van Gogh"/>
        <s v="Río Roma"/>
        <s v="Reik"/>
        <s v="Camila"/>
        <s v="Malú"/>
        <s v="Luis Fonsi"/>
        <s v="Greeicy"/>
        <s v="Alvaro Soler"/>
        <s v="Carlos Rivera"/>
        <s v="Luciano Pereyra"/>
        <s v="*NSYNC"/>
        <s v="Sebastian Yatra"/>
        <s v="Marc Seguí"/>
        <s v="Axel"/>
      </sharedItems>
    </cacheField>
    <cacheField name="Nombre del álbum" numFmtId="0">
      <sharedItems/>
    </cacheField>
    <cacheField name="Fecha de lanzamiento del álbum" numFmtId="0">
      <sharedItems/>
    </cacheField>
    <cacheField name="Año de lanzamiento del álbum" numFmtId="0">
      <sharedItems containsSemiMixedTypes="0" containsString="0" containsNumber="1" containsInteger="1" minValue="1989" maxValue="2026"/>
    </cacheField>
    <cacheField name="Duración de la canción (ms)" numFmtId="0">
      <sharedItems containsSemiMixedTypes="0" containsString="0" containsNumber="1" containsInteger="1" minValue="124485" maxValue="549177"/>
    </cacheField>
    <cacheField name="Duración segundos (s)" numFmtId="0">
      <sharedItems/>
    </cacheField>
    <cacheField name="Duración categoría" numFmtId="0">
      <sharedItems/>
    </cacheField>
    <cacheField name="Popularidad" numFmtId="0">
      <sharedItems containsSemiMixedTypes="0" containsString="0" containsNumber="1" containsInteger="1" minValue="0" maxValue="83"/>
    </cacheField>
    <cacheField name="Categoría popularidad" numFmtId="0">
      <sharedItems/>
    </cacheField>
    <cacheField name="Explícito" numFmtId="0">
      <sharedItems/>
    </cacheField>
    <cacheField name="Añadido en" numFmtId="22">
      <sharedItems containsSemiMixedTypes="0" containsNonDate="0" containsDate="1" containsString="0" minDate="2022-09-30T09:55:19" maxDate="2026-07-24T09:20:19"/>
    </cacheField>
    <cacheField name="Año Añadido" numFmtId="0">
      <sharedItems containsSemiMixedTypes="0" containsString="0" containsNumber="1" containsInteger="1" minValue="2022" maxValue="2026"/>
    </cacheField>
  </cacheFields>
  <extLst>
    <ext xmlns:x14="http://schemas.microsoft.com/office/spreadsheetml/2009/9/main" uri="{725AE2AE-9491-48be-B2B4-4EB974FC3084}">
      <x14:pivotCacheDefinition pivotCacheId="199081771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LLELI-PC" refreshedDate="46252.861836342592" createdVersion="8" refreshedVersion="8" minRefreshableVersion="3" recordCount="4" xr:uid="{57AD7A50-2460-44A3-BD34-4E4C3260326D}">
  <cacheSource type="worksheet">
    <worksheetSource ref="A2:A6" sheet="Y"/>
  </cacheSource>
  <cacheFields count="1">
    <cacheField name="Total de canciones" numFmtId="0">
      <sharedItems containsMixedTypes="1" containsNumber="1" containsInteger="1" minValue="1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LLELI-PC" refreshedDate="46253.857219212965" backgroundQuery="1" createdVersion="8" refreshedVersion="8" minRefreshableVersion="3" recordCount="0" supportSubquery="1" supportAdvancedDrill="1" xr:uid="{DA35E96E-D215-4C31-9069-31D71DA9EAE7}">
  <cacheSource type="external" connectionId="3"/>
  <cacheFields count="10">
    <cacheField name="[Measures].[Total de canciones]" caption="Total de canciones" numFmtId="0" hierarchy="31" level="32767"/>
    <cacheField name="[Measures].[Total artistas]" caption="Total artistas" numFmtId="0" hierarchy="32" level="32767"/>
    <cacheField name="[Measures].[Total álbumes]" caption="Total álbumes" numFmtId="0" hierarchy="33" level="32767"/>
    <cacheField name="[Measures].[Popularidad promedio]" caption="Popularidad promedio" numFmtId="0" hierarchy="34" level="32767"/>
    <cacheField name="[Measures].[Canciones explícitas]" caption="Canciones explícitas" numFmtId="0" hierarchy="35" level="32767"/>
    <cacheField name="[Measures].[No explícitas]" caption="No explícitas" numFmtId="0" hierarchy="36" level="32767"/>
    <cacheField name="[Measures].[% Explicitas]" caption="% Explicitas" numFmtId="0" hierarchy="37" level="32767"/>
    <cacheField name="[Measures].[Duracion Total]" caption="Duracion Total" numFmtId="0" hierarchy="38" level="32767"/>
    <cacheField name="[Measures].[Duracion Promedio]" caption="Duracion Promedio" numFmtId="0" hierarchy="39" level="32767"/>
    <cacheField name="[carretera_y_manta_🎶].[Artista Principal].[Artista Principal]" caption="Artista Principal" numFmtId="0" hierarchy="2" level="1">
      <sharedItems containsSemiMixedTypes="0" containsNonDate="0" containsString="0"/>
    </cacheField>
  </cacheFields>
  <cacheHierarchies count="48">
    <cacheHierarchy uniqueName="[carretera_y_manta_🎶].[Nombre de la canción]" caption="Nombre de la canción" attribute="1" defaultMemberUniqueName="[carretera_y_manta_🎶].[Nombre de la canción].[All]" allUniqueName="[carretera_y_manta_🎶].[Nombre de la canción].[All]" dimensionUniqueName="[carretera_y_manta_🎶]" displayFolder="" count="0" memberValueDatatype="130" unbalanced="0"/>
    <cacheHierarchy uniqueName="[carretera_y_manta_🎶].[Nombre(s) del artista]" caption="Nombre(s) del artista" attribute="1" defaultMemberUniqueName="[carretera_y_manta_🎶].[Nombre(s) del artista].[All]" allUniqueName="[carretera_y_manta_🎶].[Nombre(s) del artista].[All]" dimensionUniqueName="[carretera_y_manta_🎶]" displayFolder="" count="0" memberValueDatatype="130" unbalanced="0"/>
    <cacheHierarchy uniqueName="[carretera_y_manta_🎶].[Artista Principal]" caption="Artista Principal" attribute="1" defaultMemberUniqueName="[carretera_y_manta_🎶].[Artista Principal].[All]" allUniqueName="[carretera_y_manta_🎶].[Artista Principal].[All]" dimensionUniqueName="[carretera_y_manta_🎶]" displayFolder="" count="2" memberValueDatatype="130" unbalanced="0">
      <fieldsUsage count="2">
        <fieldUsage x="-1"/>
        <fieldUsage x="9"/>
      </fieldsUsage>
    </cacheHierarchy>
    <cacheHierarchy uniqueName="[carretera_y_manta_🎶].[Nombre del álbum]" caption="Nombre del álbum" attribute="1" defaultMemberUniqueName="[carretera_y_manta_🎶].[Nombre del álbum].[All]" allUniqueName="[carretera_y_manta_🎶].[Nombre del álbum].[All]" dimensionUniqueName="[carretera_y_manta_🎶]" displayFolder="" count="0" memberValueDatatype="130" unbalanced="0"/>
    <cacheHierarchy uniqueName="[carretera_y_manta_🎶].[Fecha de lanzamiento del álbum]" caption="Fecha de lanzamiento del álbum" attribute="1" defaultMemberUniqueName="[carretera_y_manta_🎶].[Fecha de lanzamiento del álbum].[All]" allUniqueName="[carretera_y_manta_🎶].[Fecha de lanzamiento del álbum].[All]" dimensionUniqueName="[carretera_y_manta_🎶]" displayFolder="" count="0" memberValueDatatype="130" unbalanced="0"/>
    <cacheHierarchy uniqueName="[carretera_y_manta_🎶].[Año de lanzamiento del álbum]" caption="Año de lanzamiento del álbum" attribute="1" defaultMemberUniqueName="[carretera_y_manta_🎶].[Año de lanzamiento del álbum].[All]" allUniqueName="[carretera_y_manta_🎶].[Año de lanzamiento del álbum].[All]" dimensionUniqueName="[carretera_y_manta_🎶]" displayFolder="" count="2" memberValueDatatype="20" unbalanced="0"/>
    <cacheHierarchy uniqueName="[carretera_y_manta_🎶].[Duración de la canción (ms)]" caption="Duración de la canción (ms)" attribute="1" defaultMemberUniqueName="[carretera_y_manta_🎶].[Duración de la canción (ms)].[All]" allUniqueName="[carretera_y_manta_🎶].[Duración de la canción (ms)].[All]" dimensionUniqueName="[carretera_y_manta_🎶]" displayFolder="" count="0" memberValueDatatype="20" unbalanced="0"/>
    <cacheHierarchy uniqueName="[carretera_y_manta_🎶].[Duración segundos (s)]" caption="Duración segundos (s)" attribute="1" defaultMemberUniqueName="[carretera_y_manta_🎶].[Duración segundos (s)].[All]" allUniqueName="[carretera_y_manta_🎶].[Duración segundos (s)].[All]" dimensionUniqueName="[carretera_y_manta_🎶]" displayFolder="" count="0" memberValueDatatype="130" unbalanced="0"/>
    <cacheHierarchy uniqueName="[carretera_y_manta_🎶].[Duración categoría]" caption="Duración categoría" attribute="1" defaultMemberUniqueName="[carretera_y_manta_🎶].[Duración categoría].[All]" allUniqueName="[carretera_y_manta_🎶].[Duración categoría].[All]" dimensionUniqueName="[carretera_y_manta_🎶]" displayFolder="" count="0" memberValueDatatype="130" unbalanced="0"/>
    <cacheHierarchy uniqueName="[carretera_y_manta_🎶].[Popularidad]" caption="Popularidad" attribute="1" defaultMemberUniqueName="[carretera_y_manta_🎶].[Popularidad].[All]" allUniqueName="[carretera_y_manta_🎶].[Popularidad].[All]" dimensionUniqueName="[carretera_y_manta_🎶]" displayFolder="" count="0" memberValueDatatype="20" unbalanced="0"/>
    <cacheHierarchy uniqueName="[carretera_y_manta_🎶].[Categoría popularidad]" caption="Categoría popularidad" attribute="1" defaultMemberUniqueName="[carretera_y_manta_🎶].[Categoría popularidad].[All]" allUniqueName="[carretera_y_manta_🎶].[Categoría popularidad].[All]" dimensionUniqueName="[carretera_y_manta_🎶]" displayFolder="" count="0" memberValueDatatype="130" unbalanced="0"/>
    <cacheHierarchy uniqueName="[carretera_y_manta_🎶].[Explícito]" caption="Explícito" attribute="1" defaultMemberUniqueName="[carretera_y_manta_🎶].[Explícito].[All]" allUniqueName="[carretera_y_manta_🎶].[Explícito].[All]" dimensionUniqueName="[carretera_y_manta_🎶]" displayFolder="" count="0" memberValueDatatype="11" unbalanced="0"/>
    <cacheHierarchy uniqueName="[carretera_y_manta_🎶].[Añadido en]" caption="Añadido en" attribute="1" time="1" defaultMemberUniqueName="[carretera_y_manta_🎶].[Añadido en].[All]" allUniqueName="[carretera_y_manta_🎶].[Añadido en].[All]" dimensionUniqueName="[carretera_y_manta_🎶]" displayFolder="" count="0" memberValueDatatype="7" unbalanced="0"/>
    <cacheHierarchy uniqueName="[carretera_y_manta_🎶].[Año Añadido]" caption="Año Añadido" attribute="1" defaultMemberUniqueName="[carretera_y_manta_🎶].[Año Añadido].[All]" allUniqueName="[carretera_y_manta_🎶].[Año Añadido].[All]" dimensionUniqueName="[carretera_y_manta_🎶]" displayFolder="" count="0" memberValueDatatype="20" unbalanced="0"/>
    <cacheHierarchy uniqueName="[spotify].[Nombre de la canción]" caption="Nombre de la canción" attribute="1" defaultMemberUniqueName="[spotify].[Nombre de la canción].[All]" allUniqueName="[spotify].[Nombre de la canción].[All]" dimensionUniqueName="[spotify]" displayFolder="" count="0" memberValueDatatype="130" unbalanced="0"/>
    <cacheHierarchy uniqueName="[spotify].[Nombre(s) del artista]" caption="Nombre(s) del artista" attribute="1" defaultMemberUniqueName="[spotify].[Nombre(s) del artista].[All]" allUniqueName="[spotify].[Nombre(s) del artista].[All]" dimensionUniqueName="[spotify]" displayFolder="" count="0" memberValueDatatype="130" unbalanced="0"/>
    <cacheHierarchy uniqueName="[spotify].[Artista Principal]" caption="Artista Principal" attribute="1" defaultMemberUniqueName="[spotify].[Artista Principal].[All]" allUniqueName="[spotify].[Artista Principal].[All]" dimensionUniqueName="[spotify]" displayFolder="" count="0" memberValueDatatype="130" unbalanced="0"/>
    <cacheHierarchy uniqueName="[spotify].[Nombre del álbum]" caption="Nombre del álbum" attribute="1" defaultMemberUniqueName="[spotify].[Nombre del álbum].[All]" allUniqueName="[spotify].[Nombre del álbum].[All]" dimensionUniqueName="[spotify]" displayFolder="" count="0" memberValueDatatype="130" unbalanced="0"/>
    <cacheHierarchy uniqueName="[spotify].[Fecha de lanzamiento del álbum]" caption="Fecha de lanzamiento del álbum" attribute="1" defaultMemberUniqueName="[spotify].[Fecha de lanzamiento del álbum].[All]" allUniqueName="[spotify].[Fecha de lanzamiento del álbum].[All]" dimensionUniqueName="[spotify]" displayFolder="" count="0" memberValueDatatype="130" unbalanced="0"/>
    <cacheHierarchy uniqueName="[spotify].[Año de lanzamiento del álbum]" caption="Año de lanzamiento del álbum" attribute="1" defaultMemberUniqueName="[spotify].[Año de lanzamiento del álbum].[All]" allUniqueName="[spotify].[Año de lanzamiento del álbum].[All]" dimensionUniqueName="[spotify]" displayFolder="" count="0" memberValueDatatype="20" unbalanced="0"/>
    <cacheHierarchy uniqueName="[spotify].[Duración de la canción (ms)]" caption="Duración de la canción (ms)" attribute="1" defaultMemberUniqueName="[spotify].[Duración de la canción (ms)].[All]" allUniqueName="[spotify].[Duración de la canción (ms)].[All]" dimensionUniqueName="[spotify]" displayFolder="" count="0" memberValueDatatype="20" unbalanced="0"/>
    <cacheHierarchy uniqueName="[spotify].[Duración segundos (s)]" caption="Duración segundos (s)" attribute="1" defaultMemberUniqueName="[spotify].[Duración segundos (s)].[All]" allUniqueName="[spotify].[Duración segundos (s)].[All]" dimensionUniqueName="[spotify]" displayFolder="" count="0" memberValueDatatype="130" unbalanced="0"/>
    <cacheHierarchy uniqueName="[spotify].[Duración categoría]" caption="Duración categoría" attribute="1" defaultMemberUniqueName="[spotify].[Duración categoría].[All]" allUniqueName="[spotify].[Duración categoría].[All]" dimensionUniqueName="[spotify]" displayFolder="" count="0" memberValueDatatype="130" unbalanced="0"/>
    <cacheHierarchy uniqueName="[spotify].[Popularidad]" caption="Popularidad" attribute="1" defaultMemberUniqueName="[spotify].[Popularidad].[All]" allUniqueName="[spotify].[Popularidad].[All]" dimensionUniqueName="[spotify]" displayFolder="" count="0" memberValueDatatype="20" unbalanced="0"/>
    <cacheHierarchy uniqueName="[spotify].[Categoría popularidad]" caption="Categoría popularidad" attribute="1" defaultMemberUniqueName="[spotify].[Categoría popularidad].[All]" allUniqueName="[spotify].[Categoría popularidad].[All]" dimensionUniqueName="[spotify]" displayFolder="" count="0" memberValueDatatype="130" unbalanced="0"/>
    <cacheHierarchy uniqueName="[spotify].[Explícito]" caption="Explícito" attribute="1" defaultMemberUniqueName="[spotify].[Explícito].[All]" allUniqueName="[spotify].[Explícito].[All]" dimensionUniqueName="[spotify]" displayFolder="" count="0" memberValueDatatype="11" unbalanced="0"/>
    <cacheHierarchy uniqueName="[spotify].[Añadido en]" caption="Añadido en" attribute="1" time="1" defaultMemberUniqueName="[spotify].[Añadido en].[All]" allUniqueName="[spotify].[Añadido en].[All]" dimensionUniqueName="[spotify]" displayFolder="" count="0" memberValueDatatype="7" unbalanced="0"/>
    <cacheHierarchy uniqueName="[spotify].[Año Añadido]" caption="Año Añadido" attribute="1" defaultMemberUniqueName="[spotify].[Año Añadido].[All]" allUniqueName="[spotify].[Año Añadido].[All]" dimensionUniqueName="[spotify]" displayFolder="" count="0" memberValueDatatype="20" unbalanced="0"/>
    <cacheHierarchy uniqueName="[Measures].[Recuento de Nombre del álbum]" caption="Recuento de Nombre del álbum" measure="1" displayFolder="" measureGroup="carretera_y_manta_🎶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Duración categoría]" caption="Recuento de Duración categoría" measure="1" displayFolder="" measureGroup="carretera_y_manta_🎶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ombre de la canción]" caption="Recuento de Nombre de la canción" measure="1" displayFolder="" measureGroup="carretera_y_manta_🎶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otal de canciones]" caption="Total de canciones" measure="1" displayFolder="" measureGroup="carretera_y_manta_🎶" count="0" oneField="1">
      <fieldsUsage count="1">
        <fieldUsage x="0"/>
      </fieldsUsage>
    </cacheHierarchy>
    <cacheHierarchy uniqueName="[Measures].[Total artistas]" caption="Total artistas" measure="1" displayFolder="" measureGroup="carretera_y_manta_🎶" count="0" oneField="1">
      <fieldsUsage count="1">
        <fieldUsage x="1"/>
      </fieldsUsage>
    </cacheHierarchy>
    <cacheHierarchy uniqueName="[Measures].[Total álbumes]" caption="Total álbumes" measure="1" displayFolder="" measureGroup="carretera_y_manta_🎶" count="0" oneField="1">
      <fieldsUsage count="1">
        <fieldUsage x="2"/>
      </fieldsUsage>
    </cacheHierarchy>
    <cacheHierarchy uniqueName="[Measures].[Popularidad promedio]" caption="Popularidad promedio" measure="1" displayFolder="" measureGroup="carretera_y_manta_🎶" count="0" oneField="1">
      <fieldsUsage count="1">
        <fieldUsage x="3"/>
      </fieldsUsage>
    </cacheHierarchy>
    <cacheHierarchy uniqueName="[Measures].[Canciones explícitas]" caption="Canciones explícitas" measure="1" displayFolder="" measureGroup="carretera_y_manta_🎶" count="0" oneField="1">
      <fieldsUsage count="1">
        <fieldUsage x="4"/>
      </fieldsUsage>
    </cacheHierarchy>
    <cacheHierarchy uniqueName="[Measures].[No explícitas]" caption="No explícitas" measure="1" displayFolder="" measureGroup="carretera_y_manta_🎶" count="0" oneField="1">
      <fieldsUsage count="1">
        <fieldUsage x="5"/>
      </fieldsUsage>
    </cacheHierarchy>
    <cacheHierarchy uniqueName="[Measures].[% Explicitas]" caption="% Explicitas" measure="1" displayFolder="" measureGroup="carretera_y_manta_🎶" count="0" oneField="1">
      <fieldsUsage count="1">
        <fieldUsage x="6"/>
      </fieldsUsage>
    </cacheHierarchy>
    <cacheHierarchy uniqueName="[Measures].[Duracion Total]" caption="Duracion Total" measure="1" displayFolder="" measureGroup="carretera_y_manta_🎶" count="0" oneField="1">
      <fieldsUsage count="1">
        <fieldUsage x="7"/>
      </fieldsUsage>
    </cacheHierarchy>
    <cacheHierarchy uniqueName="[Measures].[Duracion Promedio]" caption="Duracion Promedio" measure="1" displayFolder="" measureGroup="carretera_y_manta_🎶" count="0" oneField="1">
      <fieldsUsage count="1">
        <fieldUsage x="8"/>
      </fieldsUsage>
    </cacheHierarchy>
    <cacheHierarchy uniqueName="[Measures].[Cancion mas larga]" caption="Cancion mas larga" measure="1" displayFolder="" measureGroup="carretera_y_manta_🎶" count="0"/>
    <cacheHierarchy uniqueName="[Measures].[Cancion mas popular]" caption="Cancion mas popular" measure="1" displayFolder="" measureGroup="carretera_y_manta_🎶" count="0"/>
    <cacheHierarchy uniqueName="[Measures].[Canción más corta]" caption="Canción más corta" measure="1" displayFolder="" measureGroup="carretera_y_manta_🎶" count="0"/>
    <cacheHierarchy uniqueName="[Measures].[Canción menos popular]" caption="Canción menos popular" measure="1" displayFolder="" measureGroup="carretera_y_manta_🎶" count="0"/>
    <cacheHierarchy uniqueName="[Measures].[Álbum con más canciones]" caption="Álbum con más canciones" measure="1" displayFolder="" measureGroup="carretera_y_manta_🎶" count="0"/>
    <cacheHierarchy uniqueName="[Measures].[__XL_Count carretera_y_manta_🎶]" caption="__XL_Count carretera_y_manta_🎶" measure="1" displayFolder="" measureGroup="carretera_y_manta_🎶" count="0" hidden="1"/>
    <cacheHierarchy uniqueName="[Measures].[__XL_Count spotify]" caption="__XL_Count spotify" measure="1" displayFolder="" measureGroup="spotify" count="0" hidden="1"/>
    <cacheHierarchy uniqueName="[Measures].[__No measures defined]" caption="__No measures defined" measure="1" displayFolder="" count="0" hidden="1"/>
  </cacheHierarchies>
  <kpis count="0"/>
  <dimensions count="3">
    <dimension name="carretera_y_manta_🎶" uniqueName="[carretera_y_manta_🎶]" caption="carretera_y_manta_🎶"/>
    <dimension measure="1" name="Measures" uniqueName="[Measures]" caption="Measures"/>
    <dimension name="spotify" uniqueName="[spotify]" caption="spotify"/>
  </dimensions>
  <measureGroups count="2">
    <measureGroup name="carretera_y_manta_🎶" caption="carretera_y_manta_🎶"/>
    <measureGroup name="spotify" caption="spotify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LLELI-PC" refreshedDate="46253.857219675927" backgroundQuery="1" createdVersion="8" refreshedVersion="8" minRefreshableVersion="3" recordCount="0" supportSubquery="1" supportAdvancedDrill="1" xr:uid="{E64884DC-A1F8-4366-A2A8-5DE3D6BBFA5D}">
  <cacheSource type="external" connectionId="3"/>
  <cacheFields count="3">
    <cacheField name="[carretera_y_manta_🎶].[Nombre del álbum].[Nombre del álbum]" caption="Nombre del álbum" numFmtId="0" hierarchy="3" level="1">
      <sharedItems count="10">
        <s v="Ahora"/>
        <s v="Coleccion definitiva (Deluxe)"/>
        <s v="KM0"/>
        <s v="Pablo Alboran (Deluxe)"/>
        <s v="Pop Rock"/>
        <s v="Que El Cielo Espere Sentao.."/>
        <s v="Tanto (Edición Premium)"/>
        <s v="Terral"/>
        <s v="Un alumno más"/>
        <s v="Yo me veo contigo"/>
      </sharedItems>
      <extLst>
        <ext xmlns:x15="http://schemas.microsoft.com/office/spreadsheetml/2010/11/main" uri="{4F2E5C28-24EA-4eb8-9CBF-B6C8F9C3D259}">
          <x15:cachedUniqueNames>
            <x15:cachedUniqueName index="0" name="[carretera_y_manta_🎶].[Nombre del álbum].&amp;[Ahora]"/>
            <x15:cachedUniqueName index="1" name="[carretera_y_manta_🎶].[Nombre del álbum].&amp;[Coleccion definitiva (Deluxe)]"/>
            <x15:cachedUniqueName index="2" name="[carretera_y_manta_🎶].[Nombre del álbum].&amp;[KM0]"/>
            <x15:cachedUniqueName index="3" name="[carretera_y_manta_🎶].[Nombre del álbum].&amp;[Pablo Alboran (Deluxe)]"/>
            <x15:cachedUniqueName index="4" name="[carretera_y_manta_🎶].[Nombre del álbum].&amp;[Pop Rock]"/>
            <x15:cachedUniqueName index="5" name="[carretera_y_manta_🎶].[Nombre del álbum].&amp;[Que El Cielo Espere Sentao..]"/>
            <x15:cachedUniqueName index="6" name="[carretera_y_manta_🎶].[Nombre del álbum].&amp;[Tanto (Edición Premium)]"/>
            <x15:cachedUniqueName index="7" name="[carretera_y_manta_🎶].[Nombre del álbum].&amp;[Terral]"/>
            <x15:cachedUniqueName index="8" name="[carretera_y_manta_🎶].[Nombre del álbum].&amp;[Un alumno más]"/>
            <x15:cachedUniqueName index="9" name="[carretera_y_manta_🎶].[Nombre del álbum].&amp;[Yo me veo contigo]"/>
          </x15:cachedUniqueNames>
        </ext>
      </extLst>
    </cacheField>
    <cacheField name="[Measures].[Recuento de Nombre del álbum]" caption="Recuento de Nombre del álbum" numFmtId="0" hierarchy="28" level="32767"/>
    <cacheField name="[carretera_y_manta_🎶].[Artista Principal].[Artista Principal]" caption="Artista Principal" numFmtId="0" hierarchy="2" level="1">
      <sharedItems containsSemiMixedTypes="0" containsNonDate="0" containsString="0"/>
    </cacheField>
  </cacheFields>
  <cacheHierarchies count="48">
    <cacheHierarchy uniqueName="[carretera_y_manta_🎶].[Nombre de la canción]" caption="Nombre de la canción" attribute="1" defaultMemberUniqueName="[carretera_y_manta_🎶].[Nombre de la canción].[All]" allUniqueName="[carretera_y_manta_🎶].[Nombre de la canción].[All]" dimensionUniqueName="[carretera_y_manta_🎶]" displayFolder="" count="0" memberValueDatatype="130" unbalanced="0"/>
    <cacheHierarchy uniqueName="[carretera_y_manta_🎶].[Nombre(s) del artista]" caption="Nombre(s) del artista" attribute="1" defaultMemberUniqueName="[carretera_y_manta_🎶].[Nombre(s) del artista].[All]" allUniqueName="[carretera_y_manta_🎶].[Nombre(s) del artista].[All]" dimensionUniqueName="[carretera_y_manta_🎶]" displayFolder="" count="0" memberValueDatatype="130" unbalanced="0"/>
    <cacheHierarchy uniqueName="[carretera_y_manta_🎶].[Artista Principal]" caption="Artista Principal" attribute="1" defaultMemberUniqueName="[carretera_y_manta_🎶].[Artista Principal].[All]" allUniqueName="[carretera_y_manta_🎶].[Artista Principal].[All]" dimensionUniqueName="[carretera_y_manta_🎶]" displayFolder="" count="2" memberValueDatatype="130" unbalanced="0">
      <fieldsUsage count="2">
        <fieldUsage x="-1"/>
        <fieldUsage x="2"/>
      </fieldsUsage>
    </cacheHierarchy>
    <cacheHierarchy uniqueName="[carretera_y_manta_🎶].[Nombre del álbum]" caption="Nombre del álbum" attribute="1" defaultMemberUniqueName="[carretera_y_manta_🎶].[Nombre del álbum].[All]" allUniqueName="[carretera_y_manta_🎶].[Nombre del álbum].[All]" dimensionUniqueName="[carretera_y_manta_🎶]" displayFolder="" count="2" memberValueDatatype="130" unbalanced="0">
      <fieldsUsage count="2">
        <fieldUsage x="-1"/>
        <fieldUsage x="0"/>
      </fieldsUsage>
    </cacheHierarchy>
    <cacheHierarchy uniqueName="[carretera_y_manta_🎶].[Fecha de lanzamiento del álbum]" caption="Fecha de lanzamiento del álbum" attribute="1" defaultMemberUniqueName="[carretera_y_manta_🎶].[Fecha de lanzamiento del álbum].[All]" allUniqueName="[carretera_y_manta_🎶].[Fecha de lanzamiento del álbum].[All]" dimensionUniqueName="[carretera_y_manta_🎶]" displayFolder="" count="0" memberValueDatatype="130" unbalanced="0"/>
    <cacheHierarchy uniqueName="[carretera_y_manta_🎶].[Año de lanzamiento del álbum]" caption="Año de lanzamiento del álbum" attribute="1" defaultMemberUniqueName="[carretera_y_manta_🎶].[Año de lanzamiento del álbum].[All]" allUniqueName="[carretera_y_manta_🎶].[Año de lanzamiento del álbum].[All]" dimensionUniqueName="[carretera_y_manta_🎶]" displayFolder="" count="2" memberValueDatatype="20" unbalanced="0"/>
    <cacheHierarchy uniqueName="[carretera_y_manta_🎶].[Duración de la canción (ms)]" caption="Duración de la canción (ms)" attribute="1" defaultMemberUniqueName="[carretera_y_manta_🎶].[Duración de la canción (ms)].[All]" allUniqueName="[carretera_y_manta_🎶].[Duración de la canción (ms)].[All]" dimensionUniqueName="[carretera_y_manta_🎶]" displayFolder="" count="0" memberValueDatatype="20" unbalanced="0"/>
    <cacheHierarchy uniqueName="[carretera_y_manta_🎶].[Duración segundos (s)]" caption="Duración segundos (s)" attribute="1" defaultMemberUniqueName="[carretera_y_manta_🎶].[Duración segundos (s)].[All]" allUniqueName="[carretera_y_manta_🎶].[Duración segundos (s)].[All]" dimensionUniqueName="[carretera_y_manta_🎶]" displayFolder="" count="0" memberValueDatatype="130" unbalanced="0"/>
    <cacheHierarchy uniqueName="[carretera_y_manta_🎶].[Duración categoría]" caption="Duración categoría" attribute="1" defaultMemberUniqueName="[carretera_y_manta_🎶].[Duración categoría].[All]" allUniqueName="[carretera_y_manta_🎶].[Duración categoría].[All]" dimensionUniqueName="[carretera_y_manta_🎶]" displayFolder="" count="0" memberValueDatatype="130" unbalanced="0"/>
    <cacheHierarchy uniqueName="[carretera_y_manta_🎶].[Popularidad]" caption="Popularidad" attribute="1" defaultMemberUniqueName="[carretera_y_manta_🎶].[Popularidad].[All]" allUniqueName="[carretera_y_manta_🎶].[Popularidad].[All]" dimensionUniqueName="[carretera_y_manta_🎶]" displayFolder="" count="0" memberValueDatatype="20" unbalanced="0"/>
    <cacheHierarchy uniqueName="[carretera_y_manta_🎶].[Categoría popularidad]" caption="Categoría popularidad" attribute="1" defaultMemberUniqueName="[carretera_y_manta_🎶].[Categoría popularidad].[All]" allUniqueName="[carretera_y_manta_🎶].[Categoría popularidad].[All]" dimensionUniqueName="[carretera_y_manta_🎶]" displayFolder="" count="0" memberValueDatatype="130" unbalanced="0"/>
    <cacheHierarchy uniqueName="[carretera_y_manta_🎶].[Explícito]" caption="Explícito" attribute="1" defaultMemberUniqueName="[carretera_y_manta_🎶].[Explícito].[All]" allUniqueName="[carretera_y_manta_🎶].[Explícito].[All]" dimensionUniqueName="[carretera_y_manta_🎶]" displayFolder="" count="0" memberValueDatatype="11" unbalanced="0"/>
    <cacheHierarchy uniqueName="[carretera_y_manta_🎶].[Añadido en]" caption="Añadido en" attribute="1" time="1" defaultMemberUniqueName="[carretera_y_manta_🎶].[Añadido en].[All]" allUniqueName="[carretera_y_manta_🎶].[Añadido en].[All]" dimensionUniqueName="[carretera_y_manta_🎶]" displayFolder="" count="0" memberValueDatatype="7" unbalanced="0"/>
    <cacheHierarchy uniqueName="[carretera_y_manta_🎶].[Año Añadido]" caption="Año Añadido" attribute="1" defaultMemberUniqueName="[carretera_y_manta_🎶].[Año Añadido].[All]" allUniqueName="[carretera_y_manta_🎶].[Año Añadido].[All]" dimensionUniqueName="[carretera_y_manta_🎶]" displayFolder="" count="0" memberValueDatatype="20" unbalanced="0"/>
    <cacheHierarchy uniqueName="[spotify].[Nombre de la canción]" caption="Nombre de la canción" attribute="1" defaultMemberUniqueName="[spotify].[Nombre de la canción].[All]" allUniqueName="[spotify].[Nombre de la canción].[All]" dimensionUniqueName="[spotify]" displayFolder="" count="0" memberValueDatatype="130" unbalanced="0"/>
    <cacheHierarchy uniqueName="[spotify].[Nombre(s) del artista]" caption="Nombre(s) del artista" attribute="1" defaultMemberUniqueName="[spotify].[Nombre(s) del artista].[All]" allUniqueName="[spotify].[Nombre(s) del artista].[All]" dimensionUniqueName="[spotify]" displayFolder="" count="0" memberValueDatatype="130" unbalanced="0"/>
    <cacheHierarchy uniqueName="[spotify].[Artista Principal]" caption="Artista Principal" attribute="1" defaultMemberUniqueName="[spotify].[Artista Principal].[All]" allUniqueName="[spotify].[Artista Principal].[All]" dimensionUniqueName="[spotify]" displayFolder="" count="0" memberValueDatatype="130" unbalanced="0"/>
    <cacheHierarchy uniqueName="[spotify].[Nombre del álbum]" caption="Nombre del álbum" attribute="1" defaultMemberUniqueName="[spotify].[Nombre del álbum].[All]" allUniqueName="[spotify].[Nombre del álbum].[All]" dimensionUniqueName="[spotify]" displayFolder="" count="0" memberValueDatatype="130" unbalanced="0"/>
    <cacheHierarchy uniqueName="[spotify].[Fecha de lanzamiento del álbum]" caption="Fecha de lanzamiento del álbum" attribute="1" defaultMemberUniqueName="[spotify].[Fecha de lanzamiento del álbum].[All]" allUniqueName="[spotify].[Fecha de lanzamiento del álbum].[All]" dimensionUniqueName="[spotify]" displayFolder="" count="0" memberValueDatatype="130" unbalanced="0"/>
    <cacheHierarchy uniqueName="[spotify].[Año de lanzamiento del álbum]" caption="Año de lanzamiento del álbum" attribute="1" defaultMemberUniqueName="[spotify].[Año de lanzamiento del álbum].[All]" allUniqueName="[spotify].[Año de lanzamiento del álbum].[All]" dimensionUniqueName="[spotify]" displayFolder="" count="0" memberValueDatatype="20" unbalanced="0"/>
    <cacheHierarchy uniqueName="[spotify].[Duración de la canción (ms)]" caption="Duración de la canción (ms)" attribute="1" defaultMemberUniqueName="[spotify].[Duración de la canción (ms)].[All]" allUniqueName="[spotify].[Duración de la canción (ms)].[All]" dimensionUniqueName="[spotify]" displayFolder="" count="0" memberValueDatatype="20" unbalanced="0"/>
    <cacheHierarchy uniqueName="[spotify].[Duración segundos (s)]" caption="Duración segundos (s)" attribute="1" defaultMemberUniqueName="[spotify].[Duración segundos (s)].[All]" allUniqueName="[spotify].[Duración segundos (s)].[All]" dimensionUniqueName="[spotify]" displayFolder="" count="0" memberValueDatatype="130" unbalanced="0"/>
    <cacheHierarchy uniqueName="[spotify].[Duración categoría]" caption="Duración categoría" attribute="1" defaultMemberUniqueName="[spotify].[Duración categoría].[All]" allUniqueName="[spotify].[Duración categoría].[All]" dimensionUniqueName="[spotify]" displayFolder="" count="0" memberValueDatatype="130" unbalanced="0"/>
    <cacheHierarchy uniqueName="[spotify].[Popularidad]" caption="Popularidad" attribute="1" defaultMemberUniqueName="[spotify].[Popularidad].[All]" allUniqueName="[spotify].[Popularidad].[All]" dimensionUniqueName="[spotify]" displayFolder="" count="0" memberValueDatatype="20" unbalanced="0"/>
    <cacheHierarchy uniqueName="[spotify].[Categoría popularidad]" caption="Categoría popularidad" attribute="1" defaultMemberUniqueName="[spotify].[Categoría popularidad].[All]" allUniqueName="[spotify].[Categoría popularidad].[All]" dimensionUniqueName="[spotify]" displayFolder="" count="0" memberValueDatatype="130" unbalanced="0"/>
    <cacheHierarchy uniqueName="[spotify].[Explícito]" caption="Explícito" attribute="1" defaultMemberUniqueName="[spotify].[Explícito].[All]" allUniqueName="[spotify].[Explícito].[All]" dimensionUniqueName="[spotify]" displayFolder="" count="0" memberValueDatatype="11" unbalanced="0"/>
    <cacheHierarchy uniqueName="[spotify].[Añadido en]" caption="Añadido en" attribute="1" time="1" defaultMemberUniqueName="[spotify].[Añadido en].[All]" allUniqueName="[spotify].[Añadido en].[All]" dimensionUniqueName="[spotify]" displayFolder="" count="0" memberValueDatatype="7" unbalanced="0"/>
    <cacheHierarchy uniqueName="[spotify].[Año Añadido]" caption="Año Añadido" attribute="1" defaultMemberUniqueName="[spotify].[Año Añadido].[All]" allUniqueName="[spotify].[Año Añadido].[All]" dimensionUniqueName="[spotify]" displayFolder="" count="0" memberValueDatatype="20" unbalanced="0"/>
    <cacheHierarchy uniqueName="[Measures].[Recuento de Nombre del álbum]" caption="Recuento de Nombre del álbum" measure="1" displayFolder="" measureGroup="carretera_y_manta_🎶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Duración categoría]" caption="Recuento de Duración categoría" measure="1" displayFolder="" measureGroup="carretera_y_manta_🎶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ombre de la canción]" caption="Recuento de Nombre de la canción" measure="1" displayFolder="" measureGroup="carretera_y_manta_🎶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otal de canciones]" caption="Total de canciones" measure="1" displayFolder="" measureGroup="carretera_y_manta_🎶" count="0"/>
    <cacheHierarchy uniqueName="[Measures].[Total artistas]" caption="Total artistas" measure="1" displayFolder="" measureGroup="carretera_y_manta_🎶" count="0"/>
    <cacheHierarchy uniqueName="[Measures].[Total álbumes]" caption="Total álbumes" measure="1" displayFolder="" measureGroup="carretera_y_manta_🎶" count="0"/>
    <cacheHierarchy uniqueName="[Measures].[Popularidad promedio]" caption="Popularidad promedio" measure="1" displayFolder="" measureGroup="carretera_y_manta_🎶" count="0"/>
    <cacheHierarchy uniqueName="[Measures].[Canciones explícitas]" caption="Canciones explícitas" measure="1" displayFolder="" measureGroup="carretera_y_manta_🎶" count="0"/>
    <cacheHierarchy uniqueName="[Measures].[No explícitas]" caption="No explícitas" measure="1" displayFolder="" measureGroup="carretera_y_manta_🎶" count="0"/>
    <cacheHierarchy uniqueName="[Measures].[% Explicitas]" caption="% Explicitas" measure="1" displayFolder="" measureGroup="carretera_y_manta_🎶" count="0"/>
    <cacheHierarchy uniqueName="[Measures].[Duracion Total]" caption="Duracion Total" measure="1" displayFolder="" measureGroup="carretera_y_manta_🎶" count="0"/>
    <cacheHierarchy uniqueName="[Measures].[Duracion Promedio]" caption="Duracion Promedio" measure="1" displayFolder="" measureGroup="carretera_y_manta_🎶" count="0"/>
    <cacheHierarchy uniqueName="[Measures].[Cancion mas larga]" caption="Cancion mas larga" measure="1" displayFolder="" measureGroup="carretera_y_manta_🎶" count="0"/>
    <cacheHierarchy uniqueName="[Measures].[Cancion mas popular]" caption="Cancion mas popular" measure="1" displayFolder="" measureGroup="carretera_y_manta_🎶" count="0"/>
    <cacheHierarchy uniqueName="[Measures].[Canción más corta]" caption="Canción más corta" measure="1" displayFolder="" measureGroup="carretera_y_manta_🎶" count="0"/>
    <cacheHierarchy uniqueName="[Measures].[Canción menos popular]" caption="Canción menos popular" measure="1" displayFolder="" measureGroup="carretera_y_manta_🎶" count="0"/>
    <cacheHierarchy uniqueName="[Measures].[Álbum con más canciones]" caption="Álbum con más canciones" measure="1" displayFolder="" measureGroup="carretera_y_manta_🎶" count="0"/>
    <cacheHierarchy uniqueName="[Measures].[__XL_Count carretera_y_manta_🎶]" caption="__XL_Count carretera_y_manta_🎶" measure="1" displayFolder="" measureGroup="carretera_y_manta_🎶" count="0" hidden="1"/>
    <cacheHierarchy uniqueName="[Measures].[__XL_Count spotify]" caption="__XL_Count spotify" measure="1" displayFolder="" measureGroup="spotify" count="0" hidden="1"/>
    <cacheHierarchy uniqueName="[Measures].[__No measures defined]" caption="__No measures defined" measure="1" displayFolder="" count="0" hidden="1"/>
  </cacheHierarchies>
  <kpis count="0"/>
  <dimensions count="3">
    <dimension name="carretera_y_manta_🎶" uniqueName="[carretera_y_manta_🎶]" caption="carretera_y_manta_🎶"/>
    <dimension measure="1" name="Measures" uniqueName="[Measures]" caption="Measures"/>
    <dimension name="spotify" uniqueName="[spotify]" caption="spotify"/>
  </dimensions>
  <measureGroups count="2">
    <measureGroup name="carretera_y_manta_🎶" caption="carretera_y_manta_🎶"/>
    <measureGroup name="spotify" caption="spotify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LLELI-PC" refreshedDate="46253.857220254627" backgroundQuery="1" createdVersion="8" refreshedVersion="8" minRefreshableVersion="3" recordCount="0" supportSubquery="1" supportAdvancedDrill="1" xr:uid="{0B015DCE-E5F2-4672-9D8A-1CDEA13613D5}">
  <cacheSource type="external" connectionId="3"/>
  <cacheFields count="3">
    <cacheField name="[Measures].[Recuento de Nombre de la canción]" caption="Recuento de Nombre de la canción" numFmtId="0" hierarchy="30" level="32767"/>
    <cacheField name="[carretera_y_manta_🎶].[Duración categoría].[Duración categoría]" caption="Duración categoría" numFmtId="0" hierarchy="8" level="1">
      <sharedItems count="4">
        <s v="2–3 min"/>
        <s v="3–4 min"/>
        <s v="4–5 min"/>
        <s v="Más de 5 min"/>
      </sharedItems>
      <extLst>
        <ext xmlns:x15="http://schemas.microsoft.com/office/spreadsheetml/2010/11/main" uri="{4F2E5C28-24EA-4eb8-9CBF-B6C8F9C3D259}">
          <x15:cachedUniqueNames>
            <x15:cachedUniqueName index="0" name="[carretera_y_manta_🎶].[Duración categoría].&amp;[2–3 min]"/>
            <x15:cachedUniqueName index="1" name="[carretera_y_manta_🎶].[Duración categoría].&amp;[3–4 min]"/>
            <x15:cachedUniqueName index="2" name="[carretera_y_manta_🎶].[Duración categoría].&amp;[4–5 min]"/>
            <x15:cachedUniqueName index="3" name="[carretera_y_manta_🎶].[Duración categoría].&amp;[Más de 5 min]"/>
          </x15:cachedUniqueNames>
        </ext>
      </extLst>
    </cacheField>
    <cacheField name="[carretera_y_manta_🎶].[Artista Principal].[Artista Principal]" caption="Artista Principal" numFmtId="0" hierarchy="2" level="1">
      <sharedItems containsSemiMixedTypes="0" containsNonDate="0" containsString="0"/>
    </cacheField>
  </cacheFields>
  <cacheHierarchies count="48">
    <cacheHierarchy uniqueName="[carretera_y_manta_🎶].[Nombre de la canción]" caption="Nombre de la canción" attribute="1" defaultMemberUniqueName="[carretera_y_manta_🎶].[Nombre de la canción].[All]" allUniqueName="[carretera_y_manta_🎶].[Nombre de la canción].[All]" dimensionUniqueName="[carretera_y_manta_🎶]" displayFolder="" count="0" memberValueDatatype="130" unbalanced="0"/>
    <cacheHierarchy uniqueName="[carretera_y_manta_🎶].[Nombre(s) del artista]" caption="Nombre(s) del artista" attribute="1" defaultMemberUniqueName="[carretera_y_manta_🎶].[Nombre(s) del artista].[All]" allUniqueName="[carretera_y_manta_🎶].[Nombre(s) del artista].[All]" dimensionUniqueName="[carretera_y_manta_🎶]" displayFolder="" count="0" memberValueDatatype="130" unbalanced="0"/>
    <cacheHierarchy uniqueName="[carretera_y_manta_🎶].[Artista Principal]" caption="Artista Principal" attribute="1" defaultMemberUniqueName="[carretera_y_manta_🎶].[Artista Principal].[All]" allUniqueName="[carretera_y_manta_🎶].[Artista Principal].[All]" dimensionUniqueName="[carretera_y_manta_🎶]" displayFolder="" count="2" memberValueDatatype="130" unbalanced="0">
      <fieldsUsage count="2">
        <fieldUsage x="-1"/>
        <fieldUsage x="2"/>
      </fieldsUsage>
    </cacheHierarchy>
    <cacheHierarchy uniqueName="[carretera_y_manta_🎶].[Nombre del álbum]" caption="Nombre del álbum" attribute="1" defaultMemberUniqueName="[carretera_y_manta_🎶].[Nombre del álbum].[All]" allUniqueName="[carretera_y_manta_🎶].[Nombre del álbum].[All]" dimensionUniqueName="[carretera_y_manta_🎶]" displayFolder="" count="0" memberValueDatatype="130" unbalanced="0"/>
    <cacheHierarchy uniqueName="[carretera_y_manta_🎶].[Fecha de lanzamiento del álbum]" caption="Fecha de lanzamiento del álbum" attribute="1" defaultMemberUniqueName="[carretera_y_manta_🎶].[Fecha de lanzamiento del álbum].[All]" allUniqueName="[carretera_y_manta_🎶].[Fecha de lanzamiento del álbum].[All]" dimensionUniqueName="[carretera_y_manta_🎶]" displayFolder="" count="0" memberValueDatatype="130" unbalanced="0"/>
    <cacheHierarchy uniqueName="[carretera_y_manta_🎶].[Año de lanzamiento del álbum]" caption="Año de lanzamiento del álbum" attribute="1" defaultMemberUniqueName="[carretera_y_manta_🎶].[Año de lanzamiento del álbum].[All]" allUniqueName="[carretera_y_manta_🎶].[Año de lanzamiento del álbum].[All]" dimensionUniqueName="[carretera_y_manta_🎶]" displayFolder="" count="2" memberValueDatatype="20" unbalanced="0"/>
    <cacheHierarchy uniqueName="[carretera_y_manta_🎶].[Duración de la canción (ms)]" caption="Duración de la canción (ms)" attribute="1" defaultMemberUniqueName="[carretera_y_manta_🎶].[Duración de la canción (ms)].[All]" allUniqueName="[carretera_y_manta_🎶].[Duración de la canción (ms)].[All]" dimensionUniqueName="[carretera_y_manta_🎶]" displayFolder="" count="0" memberValueDatatype="20" unbalanced="0"/>
    <cacheHierarchy uniqueName="[carretera_y_manta_🎶].[Duración segundos (s)]" caption="Duración segundos (s)" attribute="1" defaultMemberUniqueName="[carretera_y_manta_🎶].[Duración segundos (s)].[All]" allUniqueName="[carretera_y_manta_🎶].[Duración segundos (s)].[All]" dimensionUniqueName="[carretera_y_manta_🎶]" displayFolder="" count="0" memberValueDatatype="130" unbalanced="0"/>
    <cacheHierarchy uniqueName="[carretera_y_manta_🎶].[Duración categoría]" caption="Duración categoría" attribute="1" defaultMemberUniqueName="[carretera_y_manta_🎶].[Duración categoría].[All]" allUniqueName="[carretera_y_manta_🎶].[Duración categoría].[All]" dimensionUniqueName="[carretera_y_manta_🎶]" displayFolder="" count="2" memberValueDatatype="130" unbalanced="0">
      <fieldsUsage count="2">
        <fieldUsage x="-1"/>
        <fieldUsage x="1"/>
      </fieldsUsage>
    </cacheHierarchy>
    <cacheHierarchy uniqueName="[carretera_y_manta_🎶].[Popularidad]" caption="Popularidad" attribute="1" defaultMemberUniqueName="[carretera_y_manta_🎶].[Popularidad].[All]" allUniqueName="[carretera_y_manta_🎶].[Popularidad].[All]" dimensionUniqueName="[carretera_y_manta_🎶]" displayFolder="" count="0" memberValueDatatype="20" unbalanced="0"/>
    <cacheHierarchy uniqueName="[carretera_y_manta_🎶].[Categoría popularidad]" caption="Categoría popularidad" attribute="1" defaultMemberUniqueName="[carretera_y_manta_🎶].[Categoría popularidad].[All]" allUniqueName="[carretera_y_manta_🎶].[Categoría popularidad].[All]" dimensionUniqueName="[carretera_y_manta_🎶]" displayFolder="" count="0" memberValueDatatype="130" unbalanced="0"/>
    <cacheHierarchy uniqueName="[carretera_y_manta_🎶].[Explícito]" caption="Explícito" attribute="1" defaultMemberUniqueName="[carretera_y_manta_🎶].[Explícito].[All]" allUniqueName="[carretera_y_manta_🎶].[Explícito].[All]" dimensionUniqueName="[carretera_y_manta_🎶]" displayFolder="" count="0" memberValueDatatype="11" unbalanced="0"/>
    <cacheHierarchy uniqueName="[carretera_y_manta_🎶].[Añadido en]" caption="Añadido en" attribute="1" time="1" defaultMemberUniqueName="[carretera_y_manta_🎶].[Añadido en].[All]" allUniqueName="[carretera_y_manta_🎶].[Añadido en].[All]" dimensionUniqueName="[carretera_y_manta_🎶]" displayFolder="" count="0" memberValueDatatype="7" unbalanced="0"/>
    <cacheHierarchy uniqueName="[carretera_y_manta_🎶].[Año Añadido]" caption="Año Añadido" attribute="1" defaultMemberUniqueName="[carretera_y_manta_🎶].[Año Añadido].[All]" allUniqueName="[carretera_y_manta_🎶].[Año Añadido].[All]" dimensionUniqueName="[carretera_y_manta_🎶]" displayFolder="" count="0" memberValueDatatype="20" unbalanced="0"/>
    <cacheHierarchy uniqueName="[spotify].[Nombre de la canción]" caption="Nombre de la canción" attribute="1" defaultMemberUniqueName="[spotify].[Nombre de la canción].[All]" allUniqueName="[spotify].[Nombre de la canción].[All]" dimensionUniqueName="[spotify]" displayFolder="" count="0" memberValueDatatype="130" unbalanced="0"/>
    <cacheHierarchy uniqueName="[spotify].[Nombre(s) del artista]" caption="Nombre(s) del artista" attribute="1" defaultMemberUniqueName="[spotify].[Nombre(s) del artista].[All]" allUniqueName="[spotify].[Nombre(s) del artista].[All]" dimensionUniqueName="[spotify]" displayFolder="" count="0" memberValueDatatype="130" unbalanced="0"/>
    <cacheHierarchy uniqueName="[spotify].[Artista Principal]" caption="Artista Principal" attribute="1" defaultMemberUniqueName="[spotify].[Artista Principal].[All]" allUniqueName="[spotify].[Artista Principal].[All]" dimensionUniqueName="[spotify]" displayFolder="" count="0" memberValueDatatype="130" unbalanced="0"/>
    <cacheHierarchy uniqueName="[spotify].[Nombre del álbum]" caption="Nombre del álbum" attribute="1" defaultMemberUniqueName="[spotify].[Nombre del álbum].[All]" allUniqueName="[spotify].[Nombre del álbum].[All]" dimensionUniqueName="[spotify]" displayFolder="" count="0" memberValueDatatype="130" unbalanced="0"/>
    <cacheHierarchy uniqueName="[spotify].[Fecha de lanzamiento del álbum]" caption="Fecha de lanzamiento del álbum" attribute="1" defaultMemberUniqueName="[spotify].[Fecha de lanzamiento del álbum].[All]" allUniqueName="[spotify].[Fecha de lanzamiento del álbum].[All]" dimensionUniqueName="[spotify]" displayFolder="" count="0" memberValueDatatype="130" unbalanced="0"/>
    <cacheHierarchy uniqueName="[spotify].[Año de lanzamiento del álbum]" caption="Año de lanzamiento del álbum" attribute="1" defaultMemberUniqueName="[spotify].[Año de lanzamiento del álbum].[All]" allUniqueName="[spotify].[Año de lanzamiento del álbum].[All]" dimensionUniqueName="[spotify]" displayFolder="" count="0" memberValueDatatype="20" unbalanced="0"/>
    <cacheHierarchy uniqueName="[spotify].[Duración de la canción (ms)]" caption="Duración de la canción (ms)" attribute="1" defaultMemberUniqueName="[spotify].[Duración de la canción (ms)].[All]" allUniqueName="[spotify].[Duración de la canción (ms)].[All]" dimensionUniqueName="[spotify]" displayFolder="" count="0" memberValueDatatype="20" unbalanced="0"/>
    <cacheHierarchy uniqueName="[spotify].[Duración segundos (s)]" caption="Duración segundos (s)" attribute="1" defaultMemberUniqueName="[spotify].[Duración segundos (s)].[All]" allUniqueName="[spotify].[Duración segundos (s)].[All]" dimensionUniqueName="[spotify]" displayFolder="" count="0" memberValueDatatype="130" unbalanced="0"/>
    <cacheHierarchy uniqueName="[spotify].[Duración categoría]" caption="Duración categoría" attribute="1" defaultMemberUniqueName="[spotify].[Duración categoría].[All]" allUniqueName="[spotify].[Duración categoría].[All]" dimensionUniqueName="[spotify]" displayFolder="" count="0" memberValueDatatype="130" unbalanced="0"/>
    <cacheHierarchy uniqueName="[spotify].[Popularidad]" caption="Popularidad" attribute="1" defaultMemberUniqueName="[spotify].[Popularidad].[All]" allUniqueName="[spotify].[Popularidad].[All]" dimensionUniqueName="[spotify]" displayFolder="" count="0" memberValueDatatype="20" unbalanced="0"/>
    <cacheHierarchy uniqueName="[spotify].[Categoría popularidad]" caption="Categoría popularidad" attribute="1" defaultMemberUniqueName="[spotify].[Categoría popularidad].[All]" allUniqueName="[spotify].[Categoría popularidad].[All]" dimensionUniqueName="[spotify]" displayFolder="" count="0" memberValueDatatype="130" unbalanced="0"/>
    <cacheHierarchy uniqueName="[spotify].[Explícito]" caption="Explícito" attribute="1" defaultMemberUniqueName="[spotify].[Explícito].[All]" allUniqueName="[spotify].[Explícito].[All]" dimensionUniqueName="[spotify]" displayFolder="" count="0" memberValueDatatype="11" unbalanced="0"/>
    <cacheHierarchy uniqueName="[spotify].[Añadido en]" caption="Añadido en" attribute="1" time="1" defaultMemberUniqueName="[spotify].[Añadido en].[All]" allUniqueName="[spotify].[Añadido en].[All]" dimensionUniqueName="[spotify]" displayFolder="" count="0" memberValueDatatype="7" unbalanced="0"/>
    <cacheHierarchy uniqueName="[spotify].[Año Añadido]" caption="Año Añadido" attribute="1" defaultMemberUniqueName="[spotify].[Año Añadido].[All]" allUniqueName="[spotify].[Año Añadido].[All]" dimensionUniqueName="[spotify]" displayFolder="" count="0" memberValueDatatype="20" unbalanced="0"/>
    <cacheHierarchy uniqueName="[Measures].[Recuento de Nombre del álbum]" caption="Recuento de Nombre del álbum" measure="1" displayFolder="" measureGroup="carretera_y_manta_🎶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Duración categoría]" caption="Recuento de Duración categoría" measure="1" displayFolder="" measureGroup="carretera_y_manta_🎶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ombre de la canción]" caption="Recuento de Nombre de la canción" measure="1" displayFolder="" measureGroup="carretera_y_manta_🎶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otal de canciones]" caption="Total de canciones" measure="1" displayFolder="" measureGroup="carretera_y_manta_🎶" count="0"/>
    <cacheHierarchy uniqueName="[Measures].[Total artistas]" caption="Total artistas" measure="1" displayFolder="" measureGroup="carretera_y_manta_🎶" count="0"/>
    <cacheHierarchy uniqueName="[Measures].[Total álbumes]" caption="Total álbumes" measure="1" displayFolder="" measureGroup="carretera_y_manta_🎶" count="0"/>
    <cacheHierarchy uniqueName="[Measures].[Popularidad promedio]" caption="Popularidad promedio" measure="1" displayFolder="" measureGroup="carretera_y_manta_🎶" count="0"/>
    <cacheHierarchy uniqueName="[Measures].[Canciones explícitas]" caption="Canciones explícitas" measure="1" displayFolder="" measureGroup="carretera_y_manta_🎶" count="0"/>
    <cacheHierarchy uniqueName="[Measures].[No explícitas]" caption="No explícitas" measure="1" displayFolder="" measureGroup="carretera_y_manta_🎶" count="0"/>
    <cacheHierarchy uniqueName="[Measures].[% Explicitas]" caption="% Explicitas" measure="1" displayFolder="" measureGroup="carretera_y_manta_🎶" count="0"/>
    <cacheHierarchy uniqueName="[Measures].[Duracion Total]" caption="Duracion Total" measure="1" displayFolder="" measureGroup="carretera_y_manta_🎶" count="0"/>
    <cacheHierarchy uniqueName="[Measures].[Duracion Promedio]" caption="Duracion Promedio" measure="1" displayFolder="" measureGroup="carretera_y_manta_🎶" count="0"/>
    <cacheHierarchy uniqueName="[Measures].[Cancion mas larga]" caption="Cancion mas larga" measure="1" displayFolder="" measureGroup="carretera_y_manta_🎶" count="0"/>
    <cacheHierarchy uniqueName="[Measures].[Cancion mas popular]" caption="Cancion mas popular" measure="1" displayFolder="" measureGroup="carretera_y_manta_🎶" count="0"/>
    <cacheHierarchy uniqueName="[Measures].[Canción más corta]" caption="Canción más corta" measure="1" displayFolder="" measureGroup="carretera_y_manta_🎶" count="0"/>
    <cacheHierarchy uniqueName="[Measures].[Canción menos popular]" caption="Canción menos popular" measure="1" displayFolder="" measureGroup="carretera_y_manta_🎶" count="0"/>
    <cacheHierarchy uniqueName="[Measures].[Álbum con más canciones]" caption="Álbum con más canciones" measure="1" displayFolder="" measureGroup="carretera_y_manta_🎶" count="0"/>
    <cacheHierarchy uniqueName="[Measures].[__XL_Count carretera_y_manta_🎶]" caption="__XL_Count carretera_y_manta_🎶" measure="1" displayFolder="" measureGroup="carretera_y_manta_🎶" count="0" hidden="1"/>
    <cacheHierarchy uniqueName="[Measures].[__XL_Count spotify]" caption="__XL_Count spotify" measure="1" displayFolder="" measureGroup="spotify" count="0" hidden="1"/>
    <cacheHierarchy uniqueName="[Measures].[__No measures defined]" caption="__No measures defined" measure="1" displayFolder="" count="0" hidden="1"/>
  </cacheHierarchies>
  <kpis count="0"/>
  <dimensions count="3">
    <dimension name="carretera_y_manta_🎶" uniqueName="[carretera_y_manta_🎶]" caption="carretera_y_manta_🎶"/>
    <dimension measure="1" name="Measures" uniqueName="[Measures]" caption="Measures"/>
    <dimension name="spotify" uniqueName="[spotify]" caption="spotify"/>
  </dimensions>
  <measureGroups count="2">
    <measureGroup name="carretera_y_manta_🎶" caption="carretera_y_manta_🎶"/>
    <measureGroup name="spotify" caption="spotify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LLELI-PC" refreshedDate="46253.857220717589" backgroundQuery="1" createdVersion="8" refreshedVersion="8" minRefreshableVersion="3" recordCount="0" supportSubquery="1" supportAdvancedDrill="1" xr:uid="{6765E321-4BCC-4CA9-AB8C-D52040611C8F}">
  <cacheSource type="external" connectionId="3"/>
  <cacheFields count="3">
    <cacheField name="[Measures].[Recuento de Nombre de la canción]" caption="Recuento de Nombre de la canción" numFmtId="0" hierarchy="30" level="32767"/>
    <cacheField name="[carretera_y_manta_🎶].[Categoría popularidad].[Categoría popularidad]" caption="Categoría popularidad" numFmtId="0" hierarchy="10" level="1">
      <sharedItems count="5">
        <s v="Alta"/>
        <s v="Baja"/>
        <s v="Media"/>
        <s v="Muy alta"/>
        <s v="Muy baja"/>
      </sharedItems>
      <extLst>
        <ext xmlns:x15="http://schemas.microsoft.com/office/spreadsheetml/2010/11/main" uri="{4F2E5C28-24EA-4eb8-9CBF-B6C8F9C3D259}">
          <x15:cachedUniqueNames>
            <x15:cachedUniqueName index="0" name="[carretera_y_manta_🎶].[Categoría popularidad].&amp;[Alta]"/>
            <x15:cachedUniqueName index="1" name="[carretera_y_manta_🎶].[Categoría popularidad].&amp;[Baja]"/>
            <x15:cachedUniqueName index="2" name="[carretera_y_manta_🎶].[Categoría popularidad].&amp;[Media]"/>
            <x15:cachedUniqueName index="3" name="[carretera_y_manta_🎶].[Categoría popularidad].&amp;[Muy alta]"/>
            <x15:cachedUniqueName index="4" name="[carretera_y_manta_🎶].[Categoría popularidad].&amp;[Muy baja]"/>
          </x15:cachedUniqueNames>
        </ext>
      </extLst>
    </cacheField>
    <cacheField name="[carretera_y_manta_🎶].[Artista Principal].[Artista Principal]" caption="Artista Principal" numFmtId="0" hierarchy="2" level="1">
      <sharedItems containsSemiMixedTypes="0" containsNonDate="0" containsString="0"/>
    </cacheField>
  </cacheFields>
  <cacheHierarchies count="48">
    <cacheHierarchy uniqueName="[carretera_y_manta_🎶].[Nombre de la canción]" caption="Nombre de la canción" attribute="1" defaultMemberUniqueName="[carretera_y_manta_🎶].[Nombre de la canción].[All]" allUniqueName="[carretera_y_manta_🎶].[Nombre de la canción].[All]" dimensionUniqueName="[carretera_y_manta_🎶]" displayFolder="" count="0" memberValueDatatype="130" unbalanced="0"/>
    <cacheHierarchy uniqueName="[carretera_y_manta_🎶].[Nombre(s) del artista]" caption="Nombre(s) del artista" attribute="1" defaultMemberUniqueName="[carretera_y_manta_🎶].[Nombre(s) del artista].[All]" allUniqueName="[carretera_y_manta_🎶].[Nombre(s) del artista].[All]" dimensionUniqueName="[carretera_y_manta_🎶]" displayFolder="" count="0" memberValueDatatype="130" unbalanced="0"/>
    <cacheHierarchy uniqueName="[carretera_y_manta_🎶].[Artista Principal]" caption="Artista Principal" attribute="1" defaultMemberUniqueName="[carretera_y_manta_🎶].[Artista Principal].[All]" allUniqueName="[carretera_y_manta_🎶].[Artista Principal].[All]" dimensionUniqueName="[carretera_y_manta_🎶]" displayFolder="" count="2" memberValueDatatype="130" unbalanced="0">
      <fieldsUsage count="2">
        <fieldUsage x="-1"/>
        <fieldUsage x="2"/>
      </fieldsUsage>
    </cacheHierarchy>
    <cacheHierarchy uniqueName="[carretera_y_manta_🎶].[Nombre del álbum]" caption="Nombre del álbum" attribute="1" defaultMemberUniqueName="[carretera_y_manta_🎶].[Nombre del álbum].[All]" allUniqueName="[carretera_y_manta_🎶].[Nombre del álbum].[All]" dimensionUniqueName="[carretera_y_manta_🎶]" displayFolder="" count="0" memberValueDatatype="130" unbalanced="0"/>
    <cacheHierarchy uniqueName="[carretera_y_manta_🎶].[Fecha de lanzamiento del álbum]" caption="Fecha de lanzamiento del álbum" attribute="1" defaultMemberUniqueName="[carretera_y_manta_🎶].[Fecha de lanzamiento del álbum].[All]" allUniqueName="[carretera_y_manta_🎶].[Fecha de lanzamiento del álbum].[All]" dimensionUniqueName="[carretera_y_manta_🎶]" displayFolder="" count="0" memberValueDatatype="130" unbalanced="0"/>
    <cacheHierarchy uniqueName="[carretera_y_manta_🎶].[Año de lanzamiento del álbum]" caption="Año de lanzamiento del álbum" attribute="1" defaultMemberUniqueName="[carretera_y_manta_🎶].[Año de lanzamiento del álbum].[All]" allUniqueName="[carretera_y_manta_🎶].[Año de lanzamiento del álbum].[All]" dimensionUniqueName="[carretera_y_manta_🎶]" displayFolder="" count="2" memberValueDatatype="20" unbalanced="0"/>
    <cacheHierarchy uniqueName="[carretera_y_manta_🎶].[Duración de la canción (ms)]" caption="Duración de la canción (ms)" attribute="1" defaultMemberUniqueName="[carretera_y_manta_🎶].[Duración de la canción (ms)].[All]" allUniqueName="[carretera_y_manta_🎶].[Duración de la canción (ms)].[All]" dimensionUniqueName="[carretera_y_manta_🎶]" displayFolder="" count="0" memberValueDatatype="20" unbalanced="0"/>
    <cacheHierarchy uniqueName="[carretera_y_manta_🎶].[Duración segundos (s)]" caption="Duración segundos (s)" attribute="1" defaultMemberUniqueName="[carretera_y_manta_🎶].[Duración segundos (s)].[All]" allUniqueName="[carretera_y_manta_🎶].[Duración segundos (s)].[All]" dimensionUniqueName="[carretera_y_manta_🎶]" displayFolder="" count="0" memberValueDatatype="130" unbalanced="0"/>
    <cacheHierarchy uniqueName="[carretera_y_manta_🎶].[Duración categoría]" caption="Duración categoría" attribute="1" defaultMemberUniqueName="[carretera_y_manta_🎶].[Duración categoría].[All]" allUniqueName="[carretera_y_manta_🎶].[Duración categoría].[All]" dimensionUniqueName="[carretera_y_manta_🎶]" displayFolder="" count="0" memberValueDatatype="130" unbalanced="0"/>
    <cacheHierarchy uniqueName="[carretera_y_manta_🎶].[Popularidad]" caption="Popularidad" attribute="1" defaultMemberUniqueName="[carretera_y_manta_🎶].[Popularidad].[All]" allUniqueName="[carretera_y_manta_🎶].[Popularidad].[All]" dimensionUniqueName="[carretera_y_manta_🎶]" displayFolder="" count="0" memberValueDatatype="20" unbalanced="0"/>
    <cacheHierarchy uniqueName="[carretera_y_manta_🎶].[Categoría popularidad]" caption="Categoría popularidad" attribute="1" defaultMemberUniqueName="[carretera_y_manta_🎶].[Categoría popularidad].[All]" allUniqueName="[carretera_y_manta_🎶].[Categoría popularidad].[All]" dimensionUniqueName="[carretera_y_manta_🎶]" displayFolder="" count="2" memberValueDatatype="130" unbalanced="0">
      <fieldsUsage count="2">
        <fieldUsage x="-1"/>
        <fieldUsage x="1"/>
      </fieldsUsage>
    </cacheHierarchy>
    <cacheHierarchy uniqueName="[carretera_y_manta_🎶].[Explícito]" caption="Explícito" attribute="1" defaultMemberUniqueName="[carretera_y_manta_🎶].[Explícito].[All]" allUniqueName="[carretera_y_manta_🎶].[Explícito].[All]" dimensionUniqueName="[carretera_y_manta_🎶]" displayFolder="" count="0" memberValueDatatype="11" unbalanced="0"/>
    <cacheHierarchy uniqueName="[carretera_y_manta_🎶].[Añadido en]" caption="Añadido en" attribute="1" time="1" defaultMemberUniqueName="[carretera_y_manta_🎶].[Añadido en].[All]" allUniqueName="[carretera_y_manta_🎶].[Añadido en].[All]" dimensionUniqueName="[carretera_y_manta_🎶]" displayFolder="" count="0" memberValueDatatype="7" unbalanced="0"/>
    <cacheHierarchy uniqueName="[carretera_y_manta_🎶].[Año Añadido]" caption="Año Añadido" attribute="1" defaultMemberUniqueName="[carretera_y_manta_🎶].[Año Añadido].[All]" allUniqueName="[carretera_y_manta_🎶].[Año Añadido].[All]" dimensionUniqueName="[carretera_y_manta_🎶]" displayFolder="" count="0" memberValueDatatype="20" unbalanced="0"/>
    <cacheHierarchy uniqueName="[spotify].[Nombre de la canción]" caption="Nombre de la canción" attribute="1" defaultMemberUniqueName="[spotify].[Nombre de la canción].[All]" allUniqueName="[spotify].[Nombre de la canción].[All]" dimensionUniqueName="[spotify]" displayFolder="" count="0" memberValueDatatype="130" unbalanced="0"/>
    <cacheHierarchy uniqueName="[spotify].[Nombre(s) del artista]" caption="Nombre(s) del artista" attribute="1" defaultMemberUniqueName="[spotify].[Nombre(s) del artista].[All]" allUniqueName="[spotify].[Nombre(s) del artista].[All]" dimensionUniqueName="[spotify]" displayFolder="" count="0" memberValueDatatype="130" unbalanced="0"/>
    <cacheHierarchy uniqueName="[spotify].[Artista Principal]" caption="Artista Principal" attribute="1" defaultMemberUniqueName="[spotify].[Artista Principal].[All]" allUniqueName="[spotify].[Artista Principal].[All]" dimensionUniqueName="[spotify]" displayFolder="" count="0" memberValueDatatype="130" unbalanced="0"/>
    <cacheHierarchy uniqueName="[spotify].[Nombre del álbum]" caption="Nombre del álbum" attribute="1" defaultMemberUniqueName="[spotify].[Nombre del álbum].[All]" allUniqueName="[spotify].[Nombre del álbum].[All]" dimensionUniqueName="[spotify]" displayFolder="" count="0" memberValueDatatype="130" unbalanced="0"/>
    <cacheHierarchy uniqueName="[spotify].[Fecha de lanzamiento del álbum]" caption="Fecha de lanzamiento del álbum" attribute="1" defaultMemberUniqueName="[spotify].[Fecha de lanzamiento del álbum].[All]" allUniqueName="[spotify].[Fecha de lanzamiento del álbum].[All]" dimensionUniqueName="[spotify]" displayFolder="" count="0" memberValueDatatype="130" unbalanced="0"/>
    <cacheHierarchy uniqueName="[spotify].[Año de lanzamiento del álbum]" caption="Año de lanzamiento del álbum" attribute="1" defaultMemberUniqueName="[spotify].[Año de lanzamiento del álbum].[All]" allUniqueName="[spotify].[Año de lanzamiento del álbum].[All]" dimensionUniqueName="[spotify]" displayFolder="" count="0" memberValueDatatype="20" unbalanced="0"/>
    <cacheHierarchy uniqueName="[spotify].[Duración de la canción (ms)]" caption="Duración de la canción (ms)" attribute="1" defaultMemberUniqueName="[spotify].[Duración de la canción (ms)].[All]" allUniqueName="[spotify].[Duración de la canción (ms)].[All]" dimensionUniqueName="[spotify]" displayFolder="" count="0" memberValueDatatype="20" unbalanced="0"/>
    <cacheHierarchy uniqueName="[spotify].[Duración segundos (s)]" caption="Duración segundos (s)" attribute="1" defaultMemberUniqueName="[spotify].[Duración segundos (s)].[All]" allUniqueName="[spotify].[Duración segundos (s)].[All]" dimensionUniqueName="[spotify]" displayFolder="" count="0" memberValueDatatype="130" unbalanced="0"/>
    <cacheHierarchy uniqueName="[spotify].[Duración categoría]" caption="Duración categoría" attribute="1" defaultMemberUniqueName="[spotify].[Duración categoría].[All]" allUniqueName="[spotify].[Duración categoría].[All]" dimensionUniqueName="[spotify]" displayFolder="" count="0" memberValueDatatype="130" unbalanced="0"/>
    <cacheHierarchy uniqueName="[spotify].[Popularidad]" caption="Popularidad" attribute="1" defaultMemberUniqueName="[spotify].[Popularidad].[All]" allUniqueName="[spotify].[Popularidad].[All]" dimensionUniqueName="[spotify]" displayFolder="" count="0" memberValueDatatype="20" unbalanced="0"/>
    <cacheHierarchy uniqueName="[spotify].[Categoría popularidad]" caption="Categoría popularidad" attribute="1" defaultMemberUniqueName="[spotify].[Categoría popularidad].[All]" allUniqueName="[spotify].[Categoría popularidad].[All]" dimensionUniqueName="[spotify]" displayFolder="" count="0" memberValueDatatype="130" unbalanced="0"/>
    <cacheHierarchy uniqueName="[spotify].[Explícito]" caption="Explícito" attribute="1" defaultMemberUniqueName="[spotify].[Explícito].[All]" allUniqueName="[spotify].[Explícito].[All]" dimensionUniqueName="[spotify]" displayFolder="" count="0" memberValueDatatype="11" unbalanced="0"/>
    <cacheHierarchy uniqueName="[spotify].[Añadido en]" caption="Añadido en" attribute="1" time="1" defaultMemberUniqueName="[spotify].[Añadido en].[All]" allUniqueName="[spotify].[Añadido en].[All]" dimensionUniqueName="[spotify]" displayFolder="" count="0" memberValueDatatype="7" unbalanced="0"/>
    <cacheHierarchy uniqueName="[spotify].[Año Añadido]" caption="Año Añadido" attribute="1" defaultMemberUniqueName="[spotify].[Año Añadido].[All]" allUniqueName="[spotify].[Año Añadido].[All]" dimensionUniqueName="[spotify]" displayFolder="" count="0" memberValueDatatype="20" unbalanced="0"/>
    <cacheHierarchy uniqueName="[Measures].[Recuento de Nombre del álbum]" caption="Recuento de Nombre del álbum" measure="1" displayFolder="" measureGroup="carretera_y_manta_🎶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Duración categoría]" caption="Recuento de Duración categoría" measure="1" displayFolder="" measureGroup="carretera_y_manta_🎶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ombre de la canción]" caption="Recuento de Nombre de la canción" measure="1" displayFolder="" measureGroup="carretera_y_manta_🎶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otal de canciones]" caption="Total de canciones" measure="1" displayFolder="" measureGroup="carretera_y_manta_🎶" count="0"/>
    <cacheHierarchy uniqueName="[Measures].[Total artistas]" caption="Total artistas" measure="1" displayFolder="" measureGroup="carretera_y_manta_🎶" count="0"/>
    <cacheHierarchy uniqueName="[Measures].[Total álbumes]" caption="Total álbumes" measure="1" displayFolder="" measureGroup="carretera_y_manta_🎶" count="0"/>
    <cacheHierarchy uniqueName="[Measures].[Popularidad promedio]" caption="Popularidad promedio" measure="1" displayFolder="" measureGroup="carretera_y_manta_🎶" count="0"/>
    <cacheHierarchy uniqueName="[Measures].[Canciones explícitas]" caption="Canciones explícitas" measure="1" displayFolder="" measureGroup="carretera_y_manta_🎶" count="0"/>
    <cacheHierarchy uniqueName="[Measures].[No explícitas]" caption="No explícitas" measure="1" displayFolder="" measureGroup="carretera_y_manta_🎶" count="0"/>
    <cacheHierarchy uniqueName="[Measures].[% Explicitas]" caption="% Explicitas" measure="1" displayFolder="" measureGroup="carretera_y_manta_🎶" count="0"/>
    <cacheHierarchy uniqueName="[Measures].[Duracion Total]" caption="Duracion Total" measure="1" displayFolder="" measureGroup="carretera_y_manta_🎶" count="0"/>
    <cacheHierarchy uniqueName="[Measures].[Duracion Promedio]" caption="Duracion Promedio" measure="1" displayFolder="" measureGroup="carretera_y_manta_🎶" count="0"/>
    <cacheHierarchy uniqueName="[Measures].[Cancion mas larga]" caption="Cancion mas larga" measure="1" displayFolder="" measureGroup="carretera_y_manta_🎶" count="0"/>
    <cacheHierarchy uniqueName="[Measures].[Cancion mas popular]" caption="Cancion mas popular" measure="1" displayFolder="" measureGroup="carretera_y_manta_🎶" count="0"/>
    <cacheHierarchy uniqueName="[Measures].[Canción más corta]" caption="Canción más corta" measure="1" displayFolder="" measureGroup="carretera_y_manta_🎶" count="0"/>
    <cacheHierarchy uniqueName="[Measures].[Canción menos popular]" caption="Canción menos popular" measure="1" displayFolder="" measureGroup="carretera_y_manta_🎶" count="0"/>
    <cacheHierarchy uniqueName="[Measures].[Álbum con más canciones]" caption="Álbum con más canciones" measure="1" displayFolder="" measureGroup="carretera_y_manta_🎶" count="0"/>
    <cacheHierarchy uniqueName="[Measures].[__XL_Count carretera_y_manta_🎶]" caption="__XL_Count carretera_y_manta_🎶" measure="1" displayFolder="" measureGroup="carretera_y_manta_🎶" count="0" hidden="1"/>
    <cacheHierarchy uniqueName="[Measures].[__XL_Count spotify]" caption="__XL_Count spotify" measure="1" displayFolder="" measureGroup="spotify" count="0" hidden="1"/>
    <cacheHierarchy uniqueName="[Measures].[__No measures defined]" caption="__No measures defined" measure="1" displayFolder="" count="0" hidden="1"/>
  </cacheHierarchies>
  <kpis count="0"/>
  <dimensions count="3">
    <dimension name="carretera_y_manta_🎶" uniqueName="[carretera_y_manta_🎶]" caption="carretera_y_manta_🎶"/>
    <dimension measure="1" name="Measures" uniqueName="[Measures]" caption="Measures"/>
    <dimension name="spotify" uniqueName="[spotify]" caption="spotify"/>
  </dimensions>
  <measureGroups count="2">
    <measureGroup name="carretera_y_manta_🎶" caption="carretera_y_manta_🎶"/>
    <measureGroup name="spotify" caption="spotify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LLELI-PC" refreshedDate="46253.857221180559" backgroundQuery="1" createdVersion="8" refreshedVersion="8" minRefreshableVersion="3" recordCount="0" supportSubquery="1" supportAdvancedDrill="1" xr:uid="{49C78519-A1C2-4ADA-97E2-9D87EB9E255C}">
  <cacheSource type="external" connectionId="3"/>
  <cacheFields count="3">
    <cacheField name="[carretera_y_manta_🎶].[Año de lanzamiento del álbum].[Año de lanzamiento del álbum]" caption="Año de lanzamiento del álbum" numFmtId="0" hierarchy="5" level="1">
      <sharedItems containsSemiMixedTypes="0" containsString="0" containsNumber="1" containsInteger="1" minValue="1989" maxValue="2026" count="35">
        <n v="1989"/>
        <n v="1991"/>
        <n v="1992"/>
        <n v="1993"/>
        <n v="1994"/>
        <n v="1995"/>
        <n v="1997"/>
        <n v="1998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carretera_y_manta_🎶].[Año de lanzamiento del álbum].&amp;[1989]"/>
            <x15:cachedUniqueName index="1" name="[carretera_y_manta_🎶].[Año de lanzamiento del álbum].&amp;[1991]"/>
            <x15:cachedUniqueName index="2" name="[carretera_y_manta_🎶].[Año de lanzamiento del álbum].&amp;[1992]"/>
            <x15:cachedUniqueName index="3" name="[carretera_y_manta_🎶].[Año de lanzamiento del álbum].&amp;[1993]"/>
            <x15:cachedUniqueName index="4" name="[carretera_y_manta_🎶].[Año de lanzamiento del álbum].&amp;[1994]"/>
            <x15:cachedUniqueName index="5" name="[carretera_y_manta_🎶].[Año de lanzamiento del álbum].&amp;[1995]"/>
            <x15:cachedUniqueName index="6" name="[carretera_y_manta_🎶].[Año de lanzamiento del álbum].&amp;[1997]"/>
            <x15:cachedUniqueName index="7" name="[carretera_y_manta_🎶].[Año de lanzamiento del álbum].&amp;[1998]"/>
            <x15:cachedUniqueName index="8" name="[carretera_y_manta_🎶].[Año de lanzamiento del álbum].&amp;[2000]"/>
            <x15:cachedUniqueName index="9" name="[carretera_y_manta_🎶].[Año de lanzamiento del álbum].&amp;[2001]"/>
            <x15:cachedUniqueName index="10" name="[carretera_y_manta_🎶].[Año de lanzamiento del álbum].&amp;[2002]"/>
            <x15:cachedUniqueName index="11" name="[carretera_y_manta_🎶].[Año de lanzamiento del álbum].&amp;[2003]"/>
            <x15:cachedUniqueName index="12" name="[carretera_y_manta_🎶].[Año de lanzamiento del álbum].&amp;[2004]"/>
            <x15:cachedUniqueName index="13" name="[carretera_y_manta_🎶].[Año de lanzamiento del álbum].&amp;[2005]"/>
            <x15:cachedUniqueName index="14" name="[carretera_y_manta_🎶].[Año de lanzamiento del álbum].&amp;[2006]"/>
            <x15:cachedUniqueName index="15" name="[carretera_y_manta_🎶].[Año de lanzamiento del álbum].&amp;[2007]"/>
            <x15:cachedUniqueName index="16" name="[carretera_y_manta_🎶].[Año de lanzamiento del álbum].&amp;[2008]"/>
            <x15:cachedUniqueName index="17" name="[carretera_y_manta_🎶].[Año de lanzamiento del álbum].&amp;[2009]"/>
            <x15:cachedUniqueName index="18" name="[carretera_y_manta_🎶].[Año de lanzamiento del álbum].&amp;[2010]"/>
            <x15:cachedUniqueName index="19" name="[carretera_y_manta_🎶].[Año de lanzamiento del álbum].&amp;[2011]"/>
            <x15:cachedUniqueName index="20" name="[carretera_y_manta_🎶].[Año de lanzamiento del álbum].&amp;[2012]"/>
            <x15:cachedUniqueName index="21" name="[carretera_y_manta_🎶].[Año de lanzamiento del álbum].&amp;[2013]"/>
            <x15:cachedUniqueName index="22" name="[carretera_y_manta_🎶].[Año de lanzamiento del álbum].&amp;[2014]"/>
            <x15:cachedUniqueName index="23" name="[carretera_y_manta_🎶].[Año de lanzamiento del álbum].&amp;[2015]"/>
            <x15:cachedUniqueName index="24" name="[carretera_y_manta_🎶].[Año de lanzamiento del álbum].&amp;[2016]"/>
            <x15:cachedUniqueName index="25" name="[carretera_y_manta_🎶].[Año de lanzamiento del álbum].&amp;[2017]"/>
            <x15:cachedUniqueName index="26" name="[carretera_y_manta_🎶].[Año de lanzamiento del álbum].&amp;[2018]"/>
            <x15:cachedUniqueName index="27" name="[carretera_y_manta_🎶].[Año de lanzamiento del álbum].&amp;[2019]"/>
            <x15:cachedUniqueName index="28" name="[carretera_y_manta_🎶].[Año de lanzamiento del álbum].&amp;[2020]"/>
            <x15:cachedUniqueName index="29" name="[carretera_y_manta_🎶].[Año de lanzamiento del álbum].&amp;[2021]"/>
            <x15:cachedUniqueName index="30" name="[carretera_y_manta_🎶].[Año de lanzamiento del álbum].&amp;[2022]"/>
            <x15:cachedUniqueName index="31" name="[carretera_y_manta_🎶].[Año de lanzamiento del álbum].&amp;[2023]"/>
            <x15:cachedUniqueName index="32" name="[carretera_y_manta_🎶].[Año de lanzamiento del álbum].&amp;[2024]"/>
            <x15:cachedUniqueName index="33" name="[carretera_y_manta_🎶].[Año de lanzamiento del álbum].&amp;[2025]"/>
            <x15:cachedUniqueName index="34" name="[carretera_y_manta_🎶].[Año de lanzamiento del álbum].&amp;[2026]"/>
          </x15:cachedUniqueNames>
        </ext>
      </extLst>
    </cacheField>
    <cacheField name="[Measures].[Recuento de Nombre de la canción]" caption="Recuento de Nombre de la canción" numFmtId="0" hierarchy="30" level="32767"/>
    <cacheField name="[carretera_y_manta_🎶].[Artista Principal].[Artista Principal]" caption="Artista Principal" numFmtId="0" hierarchy="2" level="1">
      <sharedItems containsSemiMixedTypes="0" containsNonDate="0" containsString="0"/>
    </cacheField>
  </cacheFields>
  <cacheHierarchies count="48">
    <cacheHierarchy uniqueName="[carretera_y_manta_🎶].[Nombre de la canción]" caption="Nombre de la canción" attribute="1" defaultMemberUniqueName="[carretera_y_manta_🎶].[Nombre de la canción].[All]" allUniqueName="[carretera_y_manta_🎶].[Nombre de la canción].[All]" dimensionUniqueName="[carretera_y_manta_🎶]" displayFolder="" count="0" memberValueDatatype="130" unbalanced="0"/>
    <cacheHierarchy uniqueName="[carretera_y_manta_🎶].[Nombre(s) del artista]" caption="Nombre(s) del artista" attribute="1" defaultMemberUniqueName="[carretera_y_manta_🎶].[Nombre(s) del artista].[All]" allUniqueName="[carretera_y_manta_🎶].[Nombre(s) del artista].[All]" dimensionUniqueName="[carretera_y_manta_🎶]" displayFolder="" count="0" memberValueDatatype="130" unbalanced="0"/>
    <cacheHierarchy uniqueName="[carretera_y_manta_🎶].[Artista Principal]" caption="Artista Principal" attribute="1" defaultMemberUniqueName="[carretera_y_manta_🎶].[Artista Principal].[All]" allUniqueName="[carretera_y_manta_🎶].[Artista Principal].[All]" dimensionUniqueName="[carretera_y_manta_🎶]" displayFolder="" count="2" memberValueDatatype="130" unbalanced="0">
      <fieldsUsage count="2">
        <fieldUsage x="-1"/>
        <fieldUsage x="2"/>
      </fieldsUsage>
    </cacheHierarchy>
    <cacheHierarchy uniqueName="[carretera_y_manta_🎶].[Nombre del álbum]" caption="Nombre del álbum" attribute="1" defaultMemberUniqueName="[carretera_y_manta_🎶].[Nombre del álbum].[All]" allUniqueName="[carretera_y_manta_🎶].[Nombre del álbum].[All]" dimensionUniqueName="[carretera_y_manta_🎶]" displayFolder="" count="0" memberValueDatatype="130" unbalanced="0"/>
    <cacheHierarchy uniqueName="[carretera_y_manta_🎶].[Fecha de lanzamiento del álbum]" caption="Fecha de lanzamiento del álbum" attribute="1" defaultMemberUniqueName="[carretera_y_manta_🎶].[Fecha de lanzamiento del álbum].[All]" allUniqueName="[carretera_y_manta_🎶].[Fecha de lanzamiento del álbum].[All]" dimensionUniqueName="[carretera_y_manta_🎶]" displayFolder="" count="0" memberValueDatatype="130" unbalanced="0"/>
    <cacheHierarchy uniqueName="[carretera_y_manta_🎶].[Año de lanzamiento del álbum]" caption="Año de lanzamiento del álbum" attribute="1" defaultMemberUniqueName="[carretera_y_manta_🎶].[Año de lanzamiento del álbum].[All]" allUniqueName="[carretera_y_manta_🎶].[Año de lanzamiento del álbum].[All]" dimensionUniqueName="[carretera_y_manta_🎶]" displayFolder="" count="2" memberValueDatatype="20" unbalanced="0">
      <fieldsUsage count="2">
        <fieldUsage x="-1"/>
        <fieldUsage x="0"/>
      </fieldsUsage>
    </cacheHierarchy>
    <cacheHierarchy uniqueName="[carretera_y_manta_🎶].[Duración de la canción (ms)]" caption="Duración de la canción (ms)" attribute="1" defaultMemberUniqueName="[carretera_y_manta_🎶].[Duración de la canción (ms)].[All]" allUniqueName="[carretera_y_manta_🎶].[Duración de la canción (ms)].[All]" dimensionUniqueName="[carretera_y_manta_🎶]" displayFolder="" count="0" memberValueDatatype="20" unbalanced="0"/>
    <cacheHierarchy uniqueName="[carretera_y_manta_🎶].[Duración segundos (s)]" caption="Duración segundos (s)" attribute="1" defaultMemberUniqueName="[carretera_y_manta_🎶].[Duración segundos (s)].[All]" allUniqueName="[carretera_y_manta_🎶].[Duración segundos (s)].[All]" dimensionUniqueName="[carretera_y_manta_🎶]" displayFolder="" count="0" memberValueDatatype="130" unbalanced="0"/>
    <cacheHierarchy uniqueName="[carretera_y_manta_🎶].[Duración categoría]" caption="Duración categoría" attribute="1" defaultMemberUniqueName="[carretera_y_manta_🎶].[Duración categoría].[All]" allUniqueName="[carretera_y_manta_🎶].[Duración categoría].[All]" dimensionUniqueName="[carretera_y_manta_🎶]" displayFolder="" count="0" memberValueDatatype="130" unbalanced="0"/>
    <cacheHierarchy uniqueName="[carretera_y_manta_🎶].[Popularidad]" caption="Popularidad" attribute="1" defaultMemberUniqueName="[carretera_y_manta_🎶].[Popularidad].[All]" allUniqueName="[carretera_y_manta_🎶].[Popularidad].[All]" dimensionUniqueName="[carretera_y_manta_🎶]" displayFolder="" count="0" memberValueDatatype="20" unbalanced="0"/>
    <cacheHierarchy uniqueName="[carretera_y_manta_🎶].[Categoría popularidad]" caption="Categoría popularidad" attribute="1" defaultMemberUniqueName="[carretera_y_manta_🎶].[Categoría popularidad].[All]" allUniqueName="[carretera_y_manta_🎶].[Categoría popularidad].[All]" dimensionUniqueName="[carretera_y_manta_🎶]" displayFolder="" count="0" memberValueDatatype="130" unbalanced="0"/>
    <cacheHierarchy uniqueName="[carretera_y_manta_🎶].[Explícito]" caption="Explícito" attribute="1" defaultMemberUniqueName="[carretera_y_manta_🎶].[Explícito].[All]" allUniqueName="[carretera_y_manta_🎶].[Explícito].[All]" dimensionUniqueName="[carretera_y_manta_🎶]" displayFolder="" count="0" memberValueDatatype="11" unbalanced="0"/>
    <cacheHierarchy uniqueName="[carretera_y_manta_🎶].[Añadido en]" caption="Añadido en" attribute="1" time="1" defaultMemberUniqueName="[carretera_y_manta_🎶].[Añadido en].[All]" allUniqueName="[carretera_y_manta_🎶].[Añadido en].[All]" dimensionUniqueName="[carretera_y_manta_🎶]" displayFolder="" count="0" memberValueDatatype="7" unbalanced="0"/>
    <cacheHierarchy uniqueName="[carretera_y_manta_🎶].[Año Añadido]" caption="Año Añadido" attribute="1" defaultMemberUniqueName="[carretera_y_manta_🎶].[Año Añadido].[All]" allUniqueName="[carretera_y_manta_🎶].[Año Añadido].[All]" dimensionUniqueName="[carretera_y_manta_🎶]" displayFolder="" count="0" memberValueDatatype="20" unbalanced="0"/>
    <cacheHierarchy uniqueName="[spotify].[Nombre de la canción]" caption="Nombre de la canción" attribute="1" defaultMemberUniqueName="[spotify].[Nombre de la canción].[All]" allUniqueName="[spotify].[Nombre de la canción].[All]" dimensionUniqueName="[spotify]" displayFolder="" count="0" memberValueDatatype="130" unbalanced="0"/>
    <cacheHierarchy uniqueName="[spotify].[Nombre(s) del artista]" caption="Nombre(s) del artista" attribute="1" defaultMemberUniqueName="[spotify].[Nombre(s) del artista].[All]" allUniqueName="[spotify].[Nombre(s) del artista].[All]" dimensionUniqueName="[spotify]" displayFolder="" count="0" memberValueDatatype="130" unbalanced="0"/>
    <cacheHierarchy uniqueName="[spotify].[Artista Principal]" caption="Artista Principal" attribute="1" defaultMemberUniqueName="[spotify].[Artista Principal].[All]" allUniqueName="[spotify].[Artista Principal].[All]" dimensionUniqueName="[spotify]" displayFolder="" count="0" memberValueDatatype="130" unbalanced="0"/>
    <cacheHierarchy uniqueName="[spotify].[Nombre del álbum]" caption="Nombre del álbum" attribute="1" defaultMemberUniqueName="[spotify].[Nombre del álbum].[All]" allUniqueName="[spotify].[Nombre del álbum].[All]" dimensionUniqueName="[spotify]" displayFolder="" count="0" memberValueDatatype="130" unbalanced="0"/>
    <cacheHierarchy uniqueName="[spotify].[Fecha de lanzamiento del álbum]" caption="Fecha de lanzamiento del álbum" attribute="1" defaultMemberUniqueName="[spotify].[Fecha de lanzamiento del álbum].[All]" allUniqueName="[spotify].[Fecha de lanzamiento del álbum].[All]" dimensionUniqueName="[spotify]" displayFolder="" count="0" memberValueDatatype="130" unbalanced="0"/>
    <cacheHierarchy uniqueName="[spotify].[Año de lanzamiento del álbum]" caption="Año de lanzamiento del álbum" attribute="1" defaultMemberUniqueName="[spotify].[Año de lanzamiento del álbum].[All]" allUniqueName="[spotify].[Año de lanzamiento del álbum].[All]" dimensionUniqueName="[spotify]" displayFolder="" count="0" memberValueDatatype="20" unbalanced="0"/>
    <cacheHierarchy uniqueName="[spotify].[Duración de la canción (ms)]" caption="Duración de la canción (ms)" attribute="1" defaultMemberUniqueName="[spotify].[Duración de la canción (ms)].[All]" allUniqueName="[spotify].[Duración de la canción (ms)].[All]" dimensionUniqueName="[spotify]" displayFolder="" count="0" memberValueDatatype="20" unbalanced="0"/>
    <cacheHierarchy uniqueName="[spotify].[Duración segundos (s)]" caption="Duración segundos (s)" attribute="1" defaultMemberUniqueName="[spotify].[Duración segundos (s)].[All]" allUniqueName="[spotify].[Duración segundos (s)].[All]" dimensionUniqueName="[spotify]" displayFolder="" count="0" memberValueDatatype="130" unbalanced="0"/>
    <cacheHierarchy uniqueName="[spotify].[Duración categoría]" caption="Duración categoría" attribute="1" defaultMemberUniqueName="[spotify].[Duración categoría].[All]" allUniqueName="[spotify].[Duración categoría].[All]" dimensionUniqueName="[spotify]" displayFolder="" count="0" memberValueDatatype="130" unbalanced="0"/>
    <cacheHierarchy uniqueName="[spotify].[Popularidad]" caption="Popularidad" attribute="1" defaultMemberUniqueName="[spotify].[Popularidad].[All]" allUniqueName="[spotify].[Popularidad].[All]" dimensionUniqueName="[spotify]" displayFolder="" count="0" memberValueDatatype="20" unbalanced="0"/>
    <cacheHierarchy uniqueName="[spotify].[Categoría popularidad]" caption="Categoría popularidad" attribute="1" defaultMemberUniqueName="[spotify].[Categoría popularidad].[All]" allUniqueName="[spotify].[Categoría popularidad].[All]" dimensionUniqueName="[spotify]" displayFolder="" count="0" memberValueDatatype="130" unbalanced="0"/>
    <cacheHierarchy uniqueName="[spotify].[Explícito]" caption="Explícito" attribute="1" defaultMemberUniqueName="[spotify].[Explícito].[All]" allUniqueName="[spotify].[Explícito].[All]" dimensionUniqueName="[spotify]" displayFolder="" count="0" memberValueDatatype="11" unbalanced="0"/>
    <cacheHierarchy uniqueName="[spotify].[Añadido en]" caption="Añadido en" attribute="1" time="1" defaultMemberUniqueName="[spotify].[Añadido en].[All]" allUniqueName="[spotify].[Añadido en].[All]" dimensionUniqueName="[spotify]" displayFolder="" count="0" memberValueDatatype="7" unbalanced="0"/>
    <cacheHierarchy uniqueName="[spotify].[Año Añadido]" caption="Año Añadido" attribute="1" defaultMemberUniqueName="[spotify].[Año Añadido].[All]" allUniqueName="[spotify].[Año Añadido].[All]" dimensionUniqueName="[spotify]" displayFolder="" count="0" memberValueDatatype="20" unbalanced="0"/>
    <cacheHierarchy uniqueName="[Measures].[Recuento de Nombre del álbum]" caption="Recuento de Nombre del álbum" measure="1" displayFolder="" measureGroup="carretera_y_manta_🎶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Duración categoría]" caption="Recuento de Duración categoría" measure="1" displayFolder="" measureGroup="carretera_y_manta_🎶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ombre de la canción]" caption="Recuento de Nombre de la canción" measure="1" displayFolder="" measureGroup="carretera_y_manta_🎶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otal de canciones]" caption="Total de canciones" measure="1" displayFolder="" measureGroup="carretera_y_manta_🎶" count="0"/>
    <cacheHierarchy uniqueName="[Measures].[Total artistas]" caption="Total artistas" measure="1" displayFolder="" measureGroup="carretera_y_manta_🎶" count="0"/>
    <cacheHierarchy uniqueName="[Measures].[Total álbumes]" caption="Total álbumes" measure="1" displayFolder="" measureGroup="carretera_y_manta_🎶" count="0"/>
    <cacheHierarchy uniqueName="[Measures].[Popularidad promedio]" caption="Popularidad promedio" measure="1" displayFolder="" measureGroup="carretera_y_manta_🎶" count="0"/>
    <cacheHierarchy uniqueName="[Measures].[Canciones explícitas]" caption="Canciones explícitas" measure="1" displayFolder="" measureGroup="carretera_y_manta_🎶" count="0"/>
    <cacheHierarchy uniqueName="[Measures].[No explícitas]" caption="No explícitas" measure="1" displayFolder="" measureGroup="carretera_y_manta_🎶" count="0"/>
    <cacheHierarchy uniqueName="[Measures].[% Explicitas]" caption="% Explicitas" measure="1" displayFolder="" measureGroup="carretera_y_manta_🎶" count="0"/>
    <cacheHierarchy uniqueName="[Measures].[Duracion Total]" caption="Duracion Total" measure="1" displayFolder="" measureGroup="carretera_y_manta_🎶" count="0"/>
    <cacheHierarchy uniqueName="[Measures].[Duracion Promedio]" caption="Duracion Promedio" measure="1" displayFolder="" measureGroup="carretera_y_manta_🎶" count="0"/>
    <cacheHierarchy uniqueName="[Measures].[Cancion mas larga]" caption="Cancion mas larga" measure="1" displayFolder="" measureGroup="carretera_y_manta_🎶" count="0"/>
    <cacheHierarchy uniqueName="[Measures].[Cancion mas popular]" caption="Cancion mas popular" measure="1" displayFolder="" measureGroup="carretera_y_manta_🎶" count="0"/>
    <cacheHierarchy uniqueName="[Measures].[Canción más corta]" caption="Canción más corta" measure="1" displayFolder="" measureGroup="carretera_y_manta_🎶" count="0"/>
    <cacheHierarchy uniqueName="[Measures].[Canción menos popular]" caption="Canción menos popular" measure="1" displayFolder="" measureGroup="carretera_y_manta_🎶" count="0"/>
    <cacheHierarchy uniqueName="[Measures].[Álbum con más canciones]" caption="Álbum con más canciones" measure="1" displayFolder="" measureGroup="carretera_y_manta_🎶" count="0"/>
    <cacheHierarchy uniqueName="[Measures].[__XL_Count carretera_y_manta_🎶]" caption="__XL_Count carretera_y_manta_🎶" measure="1" displayFolder="" measureGroup="carretera_y_manta_🎶" count="0" hidden="1"/>
    <cacheHierarchy uniqueName="[Measures].[__XL_Count spotify]" caption="__XL_Count spotify" measure="1" displayFolder="" measureGroup="spotify" count="0" hidden="1"/>
    <cacheHierarchy uniqueName="[Measures].[__No measures defined]" caption="__No measures defined" measure="1" displayFolder="" count="0" hidden="1"/>
  </cacheHierarchies>
  <kpis count="0"/>
  <dimensions count="3">
    <dimension name="carretera_y_manta_🎶" uniqueName="[carretera_y_manta_🎶]" caption="carretera_y_manta_🎶"/>
    <dimension measure="1" name="Measures" uniqueName="[Measures]" caption="Measures"/>
    <dimension name="spotify" uniqueName="[spotify]" caption="spotify"/>
  </dimensions>
  <measureGroups count="2">
    <measureGroup name="carretera_y_manta_🎶" caption="carretera_y_manta_🎶"/>
    <measureGroup name="spotify" caption="spotify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LLELI-PC" refreshedDate="46253.85722164352" backgroundQuery="1" createdVersion="8" refreshedVersion="8" minRefreshableVersion="3" recordCount="0" supportSubquery="1" supportAdvancedDrill="1" xr:uid="{34C2FE65-8E26-4D73-9F5A-9D71413DA498}">
  <cacheSource type="external" connectionId="3"/>
  <cacheFields count="3">
    <cacheField name="[Measures].[Recuento de Nombre de la canción]" caption="Recuento de Nombre de la canción" numFmtId="0" hierarchy="30" level="32767"/>
    <cacheField name="[carretera_y_manta_🎶].[Año Añadido].[Año Añadido]" caption="Año Añadido" numFmtId="0" hierarchy="13" level="1">
      <sharedItems containsSemiMixedTypes="0" containsString="0" containsNumber="1" containsInteger="1" minValue="2022" maxValue="2026" count="4">
        <n v="2022"/>
        <n v="2023"/>
        <n v="2024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carretera_y_manta_🎶].[Año Añadido].&amp;[2022]"/>
            <x15:cachedUniqueName index="1" name="[carretera_y_manta_🎶].[Año Añadido].&amp;[2023]"/>
            <x15:cachedUniqueName index="2" name="[carretera_y_manta_🎶].[Año Añadido].&amp;[2024]"/>
            <x15:cachedUniqueName index="3" name="[carretera_y_manta_🎶].[Año Añadido].&amp;[2026]"/>
          </x15:cachedUniqueNames>
        </ext>
      </extLst>
    </cacheField>
    <cacheField name="[carretera_y_manta_🎶].[Artista Principal].[Artista Principal]" caption="Artista Principal" numFmtId="0" hierarchy="2" level="1">
      <sharedItems containsSemiMixedTypes="0" containsNonDate="0" containsString="0"/>
    </cacheField>
  </cacheFields>
  <cacheHierarchies count="48">
    <cacheHierarchy uniqueName="[carretera_y_manta_🎶].[Nombre de la canción]" caption="Nombre de la canción" attribute="1" defaultMemberUniqueName="[carretera_y_manta_🎶].[Nombre de la canción].[All]" allUniqueName="[carretera_y_manta_🎶].[Nombre de la canción].[All]" dimensionUniqueName="[carretera_y_manta_🎶]" displayFolder="" count="0" memberValueDatatype="130" unbalanced="0"/>
    <cacheHierarchy uniqueName="[carretera_y_manta_🎶].[Nombre(s) del artista]" caption="Nombre(s) del artista" attribute="1" defaultMemberUniqueName="[carretera_y_manta_🎶].[Nombre(s) del artista].[All]" allUniqueName="[carretera_y_manta_🎶].[Nombre(s) del artista].[All]" dimensionUniqueName="[carretera_y_manta_🎶]" displayFolder="" count="0" memberValueDatatype="130" unbalanced="0"/>
    <cacheHierarchy uniqueName="[carretera_y_manta_🎶].[Artista Principal]" caption="Artista Principal" attribute="1" defaultMemberUniqueName="[carretera_y_manta_🎶].[Artista Principal].[All]" allUniqueName="[carretera_y_manta_🎶].[Artista Principal].[All]" dimensionUniqueName="[carretera_y_manta_🎶]" displayFolder="" count="2" memberValueDatatype="130" unbalanced="0">
      <fieldsUsage count="2">
        <fieldUsage x="-1"/>
        <fieldUsage x="2"/>
      </fieldsUsage>
    </cacheHierarchy>
    <cacheHierarchy uniqueName="[carretera_y_manta_🎶].[Nombre del álbum]" caption="Nombre del álbum" attribute="1" defaultMemberUniqueName="[carretera_y_manta_🎶].[Nombre del álbum].[All]" allUniqueName="[carretera_y_manta_🎶].[Nombre del álbum].[All]" dimensionUniqueName="[carretera_y_manta_🎶]" displayFolder="" count="0" memberValueDatatype="130" unbalanced="0"/>
    <cacheHierarchy uniqueName="[carretera_y_manta_🎶].[Fecha de lanzamiento del álbum]" caption="Fecha de lanzamiento del álbum" attribute="1" defaultMemberUniqueName="[carretera_y_manta_🎶].[Fecha de lanzamiento del álbum].[All]" allUniqueName="[carretera_y_manta_🎶].[Fecha de lanzamiento del álbum].[All]" dimensionUniqueName="[carretera_y_manta_🎶]" displayFolder="" count="0" memberValueDatatype="130" unbalanced="0"/>
    <cacheHierarchy uniqueName="[carretera_y_manta_🎶].[Año de lanzamiento del álbum]" caption="Año de lanzamiento del álbum" attribute="1" defaultMemberUniqueName="[carretera_y_manta_🎶].[Año de lanzamiento del álbum].[All]" allUniqueName="[carretera_y_manta_🎶].[Año de lanzamiento del álbum].[All]" dimensionUniqueName="[carretera_y_manta_🎶]" displayFolder="" count="2" memberValueDatatype="20" unbalanced="0"/>
    <cacheHierarchy uniqueName="[carretera_y_manta_🎶].[Duración de la canción (ms)]" caption="Duración de la canción (ms)" attribute="1" defaultMemberUniqueName="[carretera_y_manta_🎶].[Duración de la canción (ms)].[All]" allUniqueName="[carretera_y_manta_🎶].[Duración de la canción (ms)].[All]" dimensionUniqueName="[carretera_y_manta_🎶]" displayFolder="" count="0" memberValueDatatype="20" unbalanced="0"/>
    <cacheHierarchy uniqueName="[carretera_y_manta_🎶].[Duración segundos (s)]" caption="Duración segundos (s)" attribute="1" defaultMemberUniqueName="[carretera_y_manta_🎶].[Duración segundos (s)].[All]" allUniqueName="[carretera_y_manta_🎶].[Duración segundos (s)].[All]" dimensionUniqueName="[carretera_y_manta_🎶]" displayFolder="" count="0" memberValueDatatype="130" unbalanced="0"/>
    <cacheHierarchy uniqueName="[carretera_y_manta_🎶].[Duración categoría]" caption="Duración categoría" attribute="1" defaultMemberUniqueName="[carretera_y_manta_🎶].[Duración categoría].[All]" allUniqueName="[carretera_y_manta_🎶].[Duración categoría].[All]" dimensionUniqueName="[carretera_y_manta_🎶]" displayFolder="" count="0" memberValueDatatype="130" unbalanced="0"/>
    <cacheHierarchy uniqueName="[carretera_y_manta_🎶].[Popularidad]" caption="Popularidad" attribute="1" defaultMemberUniqueName="[carretera_y_manta_🎶].[Popularidad].[All]" allUniqueName="[carretera_y_manta_🎶].[Popularidad].[All]" dimensionUniqueName="[carretera_y_manta_🎶]" displayFolder="" count="0" memberValueDatatype="20" unbalanced="0"/>
    <cacheHierarchy uniqueName="[carretera_y_manta_🎶].[Categoría popularidad]" caption="Categoría popularidad" attribute="1" defaultMemberUniqueName="[carretera_y_manta_🎶].[Categoría popularidad].[All]" allUniqueName="[carretera_y_manta_🎶].[Categoría popularidad].[All]" dimensionUniqueName="[carretera_y_manta_🎶]" displayFolder="" count="0" memberValueDatatype="130" unbalanced="0"/>
    <cacheHierarchy uniqueName="[carretera_y_manta_🎶].[Explícito]" caption="Explícito" attribute="1" defaultMemberUniqueName="[carretera_y_manta_🎶].[Explícito].[All]" allUniqueName="[carretera_y_manta_🎶].[Explícito].[All]" dimensionUniqueName="[carretera_y_manta_🎶]" displayFolder="" count="0" memberValueDatatype="11" unbalanced="0"/>
    <cacheHierarchy uniqueName="[carretera_y_manta_🎶].[Añadido en]" caption="Añadido en" attribute="1" time="1" defaultMemberUniqueName="[carretera_y_manta_🎶].[Añadido en].[All]" allUniqueName="[carretera_y_manta_🎶].[Añadido en].[All]" dimensionUniqueName="[carretera_y_manta_🎶]" displayFolder="" count="0" memberValueDatatype="7" unbalanced="0"/>
    <cacheHierarchy uniqueName="[carretera_y_manta_🎶].[Año Añadido]" caption="Año Añadido" attribute="1" defaultMemberUniqueName="[carretera_y_manta_🎶].[Año Añadido].[All]" allUniqueName="[carretera_y_manta_🎶].[Año Añadido].[All]" dimensionUniqueName="[carretera_y_manta_🎶]" displayFolder="" count="2" memberValueDatatype="20" unbalanced="0">
      <fieldsUsage count="2">
        <fieldUsage x="-1"/>
        <fieldUsage x="1"/>
      </fieldsUsage>
    </cacheHierarchy>
    <cacheHierarchy uniqueName="[spotify].[Nombre de la canción]" caption="Nombre de la canción" attribute="1" defaultMemberUniqueName="[spotify].[Nombre de la canción].[All]" allUniqueName="[spotify].[Nombre de la canción].[All]" dimensionUniqueName="[spotify]" displayFolder="" count="0" memberValueDatatype="130" unbalanced="0"/>
    <cacheHierarchy uniqueName="[spotify].[Nombre(s) del artista]" caption="Nombre(s) del artista" attribute="1" defaultMemberUniqueName="[spotify].[Nombre(s) del artista].[All]" allUniqueName="[spotify].[Nombre(s) del artista].[All]" dimensionUniqueName="[spotify]" displayFolder="" count="0" memberValueDatatype="130" unbalanced="0"/>
    <cacheHierarchy uniqueName="[spotify].[Artista Principal]" caption="Artista Principal" attribute="1" defaultMemberUniqueName="[spotify].[Artista Principal].[All]" allUniqueName="[spotify].[Artista Principal].[All]" dimensionUniqueName="[spotify]" displayFolder="" count="0" memberValueDatatype="130" unbalanced="0"/>
    <cacheHierarchy uniqueName="[spotify].[Nombre del álbum]" caption="Nombre del álbum" attribute="1" defaultMemberUniqueName="[spotify].[Nombre del álbum].[All]" allUniqueName="[spotify].[Nombre del álbum].[All]" dimensionUniqueName="[spotify]" displayFolder="" count="0" memberValueDatatype="130" unbalanced="0"/>
    <cacheHierarchy uniqueName="[spotify].[Fecha de lanzamiento del álbum]" caption="Fecha de lanzamiento del álbum" attribute="1" defaultMemberUniqueName="[spotify].[Fecha de lanzamiento del álbum].[All]" allUniqueName="[spotify].[Fecha de lanzamiento del álbum].[All]" dimensionUniqueName="[spotify]" displayFolder="" count="0" memberValueDatatype="130" unbalanced="0"/>
    <cacheHierarchy uniqueName="[spotify].[Año de lanzamiento del álbum]" caption="Año de lanzamiento del álbum" attribute="1" defaultMemberUniqueName="[spotify].[Año de lanzamiento del álbum].[All]" allUniqueName="[spotify].[Año de lanzamiento del álbum].[All]" dimensionUniqueName="[spotify]" displayFolder="" count="0" memberValueDatatype="20" unbalanced="0"/>
    <cacheHierarchy uniqueName="[spotify].[Duración de la canción (ms)]" caption="Duración de la canción (ms)" attribute="1" defaultMemberUniqueName="[spotify].[Duración de la canción (ms)].[All]" allUniqueName="[spotify].[Duración de la canción (ms)].[All]" dimensionUniqueName="[spotify]" displayFolder="" count="0" memberValueDatatype="20" unbalanced="0"/>
    <cacheHierarchy uniqueName="[spotify].[Duración segundos (s)]" caption="Duración segundos (s)" attribute="1" defaultMemberUniqueName="[spotify].[Duración segundos (s)].[All]" allUniqueName="[spotify].[Duración segundos (s)].[All]" dimensionUniqueName="[spotify]" displayFolder="" count="0" memberValueDatatype="130" unbalanced="0"/>
    <cacheHierarchy uniqueName="[spotify].[Duración categoría]" caption="Duración categoría" attribute="1" defaultMemberUniqueName="[spotify].[Duración categoría].[All]" allUniqueName="[spotify].[Duración categoría].[All]" dimensionUniqueName="[spotify]" displayFolder="" count="0" memberValueDatatype="130" unbalanced="0"/>
    <cacheHierarchy uniqueName="[spotify].[Popularidad]" caption="Popularidad" attribute="1" defaultMemberUniqueName="[spotify].[Popularidad].[All]" allUniqueName="[spotify].[Popularidad].[All]" dimensionUniqueName="[spotify]" displayFolder="" count="0" memberValueDatatype="20" unbalanced="0"/>
    <cacheHierarchy uniqueName="[spotify].[Categoría popularidad]" caption="Categoría popularidad" attribute="1" defaultMemberUniqueName="[spotify].[Categoría popularidad].[All]" allUniqueName="[spotify].[Categoría popularidad].[All]" dimensionUniqueName="[spotify]" displayFolder="" count="0" memberValueDatatype="130" unbalanced="0"/>
    <cacheHierarchy uniqueName="[spotify].[Explícito]" caption="Explícito" attribute="1" defaultMemberUniqueName="[spotify].[Explícito].[All]" allUniqueName="[spotify].[Explícito].[All]" dimensionUniqueName="[spotify]" displayFolder="" count="0" memberValueDatatype="11" unbalanced="0"/>
    <cacheHierarchy uniqueName="[spotify].[Añadido en]" caption="Añadido en" attribute="1" time="1" defaultMemberUniqueName="[spotify].[Añadido en].[All]" allUniqueName="[spotify].[Añadido en].[All]" dimensionUniqueName="[spotify]" displayFolder="" count="0" memberValueDatatype="7" unbalanced="0"/>
    <cacheHierarchy uniqueName="[spotify].[Año Añadido]" caption="Año Añadido" attribute="1" defaultMemberUniqueName="[spotify].[Año Añadido].[All]" allUniqueName="[spotify].[Año Añadido].[All]" dimensionUniqueName="[spotify]" displayFolder="" count="0" memberValueDatatype="20" unbalanced="0"/>
    <cacheHierarchy uniqueName="[Measures].[Recuento de Nombre del álbum]" caption="Recuento de Nombre del álbum" measure="1" displayFolder="" measureGroup="carretera_y_manta_🎶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Duración categoría]" caption="Recuento de Duración categoría" measure="1" displayFolder="" measureGroup="carretera_y_manta_🎶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ombre de la canción]" caption="Recuento de Nombre de la canción" measure="1" displayFolder="" measureGroup="carretera_y_manta_🎶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otal de canciones]" caption="Total de canciones" measure="1" displayFolder="" measureGroup="carretera_y_manta_🎶" count="0"/>
    <cacheHierarchy uniqueName="[Measures].[Total artistas]" caption="Total artistas" measure="1" displayFolder="" measureGroup="carretera_y_manta_🎶" count="0"/>
    <cacheHierarchy uniqueName="[Measures].[Total álbumes]" caption="Total álbumes" measure="1" displayFolder="" measureGroup="carretera_y_manta_🎶" count="0"/>
    <cacheHierarchy uniqueName="[Measures].[Popularidad promedio]" caption="Popularidad promedio" measure="1" displayFolder="" measureGroup="carretera_y_manta_🎶" count="0"/>
    <cacheHierarchy uniqueName="[Measures].[Canciones explícitas]" caption="Canciones explícitas" measure="1" displayFolder="" measureGroup="carretera_y_manta_🎶" count="0"/>
    <cacheHierarchy uniqueName="[Measures].[No explícitas]" caption="No explícitas" measure="1" displayFolder="" measureGroup="carretera_y_manta_🎶" count="0"/>
    <cacheHierarchy uniqueName="[Measures].[% Explicitas]" caption="% Explicitas" measure="1" displayFolder="" measureGroup="carretera_y_manta_🎶" count="0"/>
    <cacheHierarchy uniqueName="[Measures].[Duracion Total]" caption="Duracion Total" measure="1" displayFolder="" measureGroup="carretera_y_manta_🎶" count="0"/>
    <cacheHierarchy uniqueName="[Measures].[Duracion Promedio]" caption="Duracion Promedio" measure="1" displayFolder="" measureGroup="carretera_y_manta_🎶" count="0"/>
    <cacheHierarchy uniqueName="[Measures].[Cancion mas larga]" caption="Cancion mas larga" measure="1" displayFolder="" measureGroup="carretera_y_manta_🎶" count="0"/>
    <cacheHierarchy uniqueName="[Measures].[Cancion mas popular]" caption="Cancion mas popular" measure="1" displayFolder="" measureGroup="carretera_y_manta_🎶" count="0"/>
    <cacheHierarchy uniqueName="[Measures].[Canción más corta]" caption="Canción más corta" measure="1" displayFolder="" measureGroup="carretera_y_manta_🎶" count="0"/>
    <cacheHierarchy uniqueName="[Measures].[Canción menos popular]" caption="Canción menos popular" measure="1" displayFolder="" measureGroup="carretera_y_manta_🎶" count="0"/>
    <cacheHierarchy uniqueName="[Measures].[Álbum con más canciones]" caption="Álbum con más canciones" measure="1" displayFolder="" measureGroup="carretera_y_manta_🎶" count="0"/>
    <cacheHierarchy uniqueName="[Measures].[__XL_Count carretera_y_manta_🎶]" caption="__XL_Count carretera_y_manta_🎶" measure="1" displayFolder="" measureGroup="carretera_y_manta_🎶" count="0" hidden="1"/>
    <cacheHierarchy uniqueName="[Measures].[__XL_Count spotify]" caption="__XL_Count spotify" measure="1" displayFolder="" measureGroup="spotify" count="0" hidden="1"/>
    <cacheHierarchy uniqueName="[Measures].[__No measures defined]" caption="__No measures defined" measure="1" displayFolder="" count="0" hidden="1"/>
  </cacheHierarchies>
  <kpis count="0"/>
  <dimensions count="3">
    <dimension name="carretera_y_manta_🎶" uniqueName="[carretera_y_manta_🎶]" caption="carretera_y_manta_🎶"/>
    <dimension measure="1" name="Measures" uniqueName="[Measures]" caption="Measures"/>
    <dimension name="spotify" uniqueName="[spotify]" caption="spotify"/>
  </dimensions>
  <measureGroups count="2">
    <measureGroup name="carretera_y_manta_🎶" caption="carretera_y_manta_🎶"/>
    <measureGroup name="spotify" caption="spotify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LLELI-PC" refreshedDate="46253.857222222221" backgroundQuery="1" createdVersion="8" refreshedVersion="8" minRefreshableVersion="3" recordCount="0" supportSubquery="1" supportAdvancedDrill="1" xr:uid="{226A3023-F50C-4419-BF40-885DF1043B5E}">
  <cacheSource type="external" connectionId="3"/>
  <cacheFields count="6">
    <cacheField name="[Measures].[Cancion mas larga]" caption="Cancion mas larga" numFmtId="0" hierarchy="40" level="32767"/>
    <cacheField name="[Measures].[Cancion mas popular]" caption="Cancion mas popular" numFmtId="0" hierarchy="41" level="32767"/>
    <cacheField name="[Measures].[Canción más corta]" caption="Canción más corta" numFmtId="0" hierarchy="42" level="32767"/>
    <cacheField name="[Measures].[Canción menos popular]" caption="Canción menos popular" numFmtId="0" hierarchy="43" level="32767"/>
    <cacheField name="[Measures].[Álbum con más canciones]" caption="Álbum con más canciones" numFmtId="0" hierarchy="44" level="32767"/>
    <cacheField name="[carretera_y_manta_🎶].[Artista Principal].[Artista Principal]" caption="Artista Principal" numFmtId="0" hierarchy="2" level="1">
      <sharedItems containsSemiMixedTypes="0" containsNonDate="0" containsString="0"/>
    </cacheField>
  </cacheFields>
  <cacheHierarchies count="48">
    <cacheHierarchy uniqueName="[carretera_y_manta_🎶].[Nombre de la canción]" caption="Nombre de la canción" attribute="1" defaultMemberUniqueName="[carretera_y_manta_🎶].[Nombre de la canción].[All]" allUniqueName="[carretera_y_manta_🎶].[Nombre de la canción].[All]" dimensionUniqueName="[carretera_y_manta_🎶]" displayFolder="" count="0" memberValueDatatype="130" unbalanced="0"/>
    <cacheHierarchy uniqueName="[carretera_y_manta_🎶].[Nombre(s) del artista]" caption="Nombre(s) del artista" attribute="1" defaultMemberUniqueName="[carretera_y_manta_🎶].[Nombre(s) del artista].[All]" allUniqueName="[carretera_y_manta_🎶].[Nombre(s) del artista].[All]" dimensionUniqueName="[carretera_y_manta_🎶]" displayFolder="" count="0" memberValueDatatype="130" unbalanced="0"/>
    <cacheHierarchy uniqueName="[carretera_y_manta_🎶].[Artista Principal]" caption="Artista Principal" attribute="1" defaultMemberUniqueName="[carretera_y_manta_🎶].[Artista Principal].[All]" allUniqueName="[carretera_y_manta_🎶].[Artista Principal].[All]" dimensionUniqueName="[carretera_y_manta_🎶]" displayFolder="" count="2" memberValueDatatype="130" unbalanced="0">
      <fieldsUsage count="2">
        <fieldUsage x="-1"/>
        <fieldUsage x="5"/>
      </fieldsUsage>
    </cacheHierarchy>
    <cacheHierarchy uniqueName="[carretera_y_manta_🎶].[Nombre del álbum]" caption="Nombre del álbum" attribute="1" defaultMemberUniqueName="[carretera_y_manta_🎶].[Nombre del álbum].[All]" allUniqueName="[carretera_y_manta_🎶].[Nombre del álbum].[All]" dimensionUniqueName="[carretera_y_manta_🎶]" displayFolder="" count="0" memberValueDatatype="130" unbalanced="0"/>
    <cacheHierarchy uniqueName="[carretera_y_manta_🎶].[Fecha de lanzamiento del álbum]" caption="Fecha de lanzamiento del álbum" attribute="1" defaultMemberUniqueName="[carretera_y_manta_🎶].[Fecha de lanzamiento del álbum].[All]" allUniqueName="[carretera_y_manta_🎶].[Fecha de lanzamiento del álbum].[All]" dimensionUniqueName="[carretera_y_manta_🎶]" displayFolder="" count="0" memberValueDatatype="130" unbalanced="0"/>
    <cacheHierarchy uniqueName="[carretera_y_manta_🎶].[Año de lanzamiento del álbum]" caption="Año de lanzamiento del álbum" attribute="1" defaultMemberUniqueName="[carretera_y_manta_🎶].[Año de lanzamiento del álbum].[All]" allUniqueName="[carretera_y_manta_🎶].[Año de lanzamiento del álbum].[All]" dimensionUniqueName="[carretera_y_manta_🎶]" displayFolder="" count="2" memberValueDatatype="20" unbalanced="0"/>
    <cacheHierarchy uniqueName="[carretera_y_manta_🎶].[Duración de la canción (ms)]" caption="Duración de la canción (ms)" attribute="1" defaultMemberUniqueName="[carretera_y_manta_🎶].[Duración de la canción (ms)].[All]" allUniqueName="[carretera_y_manta_🎶].[Duración de la canción (ms)].[All]" dimensionUniqueName="[carretera_y_manta_🎶]" displayFolder="" count="0" memberValueDatatype="20" unbalanced="0"/>
    <cacheHierarchy uniqueName="[carretera_y_manta_🎶].[Duración segundos (s)]" caption="Duración segundos (s)" attribute="1" defaultMemberUniqueName="[carretera_y_manta_🎶].[Duración segundos (s)].[All]" allUniqueName="[carretera_y_manta_🎶].[Duración segundos (s)].[All]" dimensionUniqueName="[carretera_y_manta_🎶]" displayFolder="" count="0" memberValueDatatype="130" unbalanced="0"/>
    <cacheHierarchy uniqueName="[carretera_y_manta_🎶].[Duración categoría]" caption="Duración categoría" attribute="1" defaultMemberUniqueName="[carretera_y_manta_🎶].[Duración categoría].[All]" allUniqueName="[carretera_y_manta_🎶].[Duración categoría].[All]" dimensionUniqueName="[carretera_y_manta_🎶]" displayFolder="" count="0" memberValueDatatype="130" unbalanced="0"/>
    <cacheHierarchy uniqueName="[carretera_y_manta_🎶].[Popularidad]" caption="Popularidad" attribute="1" defaultMemberUniqueName="[carretera_y_manta_🎶].[Popularidad].[All]" allUniqueName="[carretera_y_manta_🎶].[Popularidad].[All]" dimensionUniqueName="[carretera_y_manta_🎶]" displayFolder="" count="0" memberValueDatatype="20" unbalanced="0"/>
    <cacheHierarchy uniqueName="[carretera_y_manta_🎶].[Categoría popularidad]" caption="Categoría popularidad" attribute="1" defaultMemberUniqueName="[carretera_y_manta_🎶].[Categoría popularidad].[All]" allUniqueName="[carretera_y_manta_🎶].[Categoría popularidad].[All]" dimensionUniqueName="[carretera_y_manta_🎶]" displayFolder="" count="0" memberValueDatatype="130" unbalanced="0"/>
    <cacheHierarchy uniqueName="[carretera_y_manta_🎶].[Explícito]" caption="Explícito" attribute="1" defaultMemberUniqueName="[carretera_y_manta_🎶].[Explícito].[All]" allUniqueName="[carretera_y_manta_🎶].[Explícito].[All]" dimensionUniqueName="[carretera_y_manta_🎶]" displayFolder="" count="0" memberValueDatatype="11" unbalanced="0"/>
    <cacheHierarchy uniqueName="[carretera_y_manta_🎶].[Añadido en]" caption="Añadido en" attribute="1" time="1" defaultMemberUniqueName="[carretera_y_manta_🎶].[Añadido en].[All]" allUniqueName="[carretera_y_manta_🎶].[Añadido en].[All]" dimensionUniqueName="[carretera_y_manta_🎶]" displayFolder="" count="0" memberValueDatatype="7" unbalanced="0"/>
    <cacheHierarchy uniqueName="[carretera_y_manta_🎶].[Año Añadido]" caption="Año Añadido" attribute="1" defaultMemberUniqueName="[carretera_y_manta_🎶].[Año Añadido].[All]" allUniqueName="[carretera_y_manta_🎶].[Año Añadido].[All]" dimensionUniqueName="[carretera_y_manta_🎶]" displayFolder="" count="0" memberValueDatatype="20" unbalanced="0"/>
    <cacheHierarchy uniqueName="[spotify].[Nombre de la canción]" caption="Nombre de la canción" attribute="1" defaultMemberUniqueName="[spotify].[Nombre de la canción].[All]" allUniqueName="[spotify].[Nombre de la canción].[All]" dimensionUniqueName="[spotify]" displayFolder="" count="0" memberValueDatatype="130" unbalanced="0"/>
    <cacheHierarchy uniqueName="[spotify].[Nombre(s) del artista]" caption="Nombre(s) del artista" attribute="1" defaultMemberUniqueName="[spotify].[Nombre(s) del artista].[All]" allUniqueName="[spotify].[Nombre(s) del artista].[All]" dimensionUniqueName="[spotify]" displayFolder="" count="0" memberValueDatatype="130" unbalanced="0"/>
    <cacheHierarchy uniqueName="[spotify].[Artista Principal]" caption="Artista Principal" attribute="1" defaultMemberUniqueName="[spotify].[Artista Principal].[All]" allUniqueName="[spotify].[Artista Principal].[All]" dimensionUniqueName="[spotify]" displayFolder="" count="0" memberValueDatatype="130" unbalanced="0"/>
    <cacheHierarchy uniqueName="[spotify].[Nombre del álbum]" caption="Nombre del álbum" attribute="1" defaultMemberUniqueName="[spotify].[Nombre del álbum].[All]" allUniqueName="[spotify].[Nombre del álbum].[All]" dimensionUniqueName="[spotify]" displayFolder="" count="0" memberValueDatatype="130" unbalanced="0"/>
    <cacheHierarchy uniqueName="[spotify].[Fecha de lanzamiento del álbum]" caption="Fecha de lanzamiento del álbum" attribute="1" defaultMemberUniqueName="[spotify].[Fecha de lanzamiento del álbum].[All]" allUniqueName="[spotify].[Fecha de lanzamiento del álbum].[All]" dimensionUniqueName="[spotify]" displayFolder="" count="0" memberValueDatatype="130" unbalanced="0"/>
    <cacheHierarchy uniqueName="[spotify].[Año de lanzamiento del álbum]" caption="Año de lanzamiento del álbum" attribute="1" defaultMemberUniqueName="[spotify].[Año de lanzamiento del álbum].[All]" allUniqueName="[spotify].[Año de lanzamiento del álbum].[All]" dimensionUniqueName="[spotify]" displayFolder="" count="0" memberValueDatatype="20" unbalanced="0"/>
    <cacheHierarchy uniqueName="[spotify].[Duración de la canción (ms)]" caption="Duración de la canción (ms)" attribute="1" defaultMemberUniqueName="[spotify].[Duración de la canción (ms)].[All]" allUniqueName="[spotify].[Duración de la canción (ms)].[All]" dimensionUniqueName="[spotify]" displayFolder="" count="0" memberValueDatatype="20" unbalanced="0"/>
    <cacheHierarchy uniqueName="[spotify].[Duración segundos (s)]" caption="Duración segundos (s)" attribute="1" defaultMemberUniqueName="[spotify].[Duración segundos (s)].[All]" allUniqueName="[spotify].[Duración segundos (s)].[All]" dimensionUniqueName="[spotify]" displayFolder="" count="0" memberValueDatatype="130" unbalanced="0"/>
    <cacheHierarchy uniqueName="[spotify].[Duración categoría]" caption="Duración categoría" attribute="1" defaultMemberUniqueName="[spotify].[Duración categoría].[All]" allUniqueName="[spotify].[Duración categoría].[All]" dimensionUniqueName="[spotify]" displayFolder="" count="0" memberValueDatatype="130" unbalanced="0"/>
    <cacheHierarchy uniqueName="[spotify].[Popularidad]" caption="Popularidad" attribute="1" defaultMemberUniqueName="[spotify].[Popularidad].[All]" allUniqueName="[spotify].[Popularidad].[All]" dimensionUniqueName="[spotify]" displayFolder="" count="0" memberValueDatatype="20" unbalanced="0"/>
    <cacheHierarchy uniqueName="[spotify].[Categoría popularidad]" caption="Categoría popularidad" attribute="1" defaultMemberUniqueName="[spotify].[Categoría popularidad].[All]" allUniqueName="[spotify].[Categoría popularidad].[All]" dimensionUniqueName="[spotify]" displayFolder="" count="0" memberValueDatatype="130" unbalanced="0"/>
    <cacheHierarchy uniqueName="[spotify].[Explícito]" caption="Explícito" attribute="1" defaultMemberUniqueName="[spotify].[Explícito].[All]" allUniqueName="[spotify].[Explícito].[All]" dimensionUniqueName="[spotify]" displayFolder="" count="0" memberValueDatatype="11" unbalanced="0"/>
    <cacheHierarchy uniqueName="[spotify].[Añadido en]" caption="Añadido en" attribute="1" time="1" defaultMemberUniqueName="[spotify].[Añadido en].[All]" allUniqueName="[spotify].[Añadido en].[All]" dimensionUniqueName="[spotify]" displayFolder="" count="0" memberValueDatatype="7" unbalanced="0"/>
    <cacheHierarchy uniqueName="[spotify].[Año Añadido]" caption="Año Añadido" attribute="1" defaultMemberUniqueName="[spotify].[Año Añadido].[All]" allUniqueName="[spotify].[Año Añadido].[All]" dimensionUniqueName="[spotify]" displayFolder="" count="0" memberValueDatatype="20" unbalanced="0"/>
    <cacheHierarchy uniqueName="[Measures].[Recuento de Nombre del álbum]" caption="Recuento de Nombre del álbum" measure="1" displayFolder="" measureGroup="carretera_y_manta_🎶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Duración categoría]" caption="Recuento de Duración categoría" measure="1" displayFolder="" measureGroup="carretera_y_manta_🎶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ombre de la canción]" caption="Recuento de Nombre de la canción" measure="1" displayFolder="" measureGroup="carretera_y_manta_🎶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otal de canciones]" caption="Total de canciones" measure="1" displayFolder="" measureGroup="carretera_y_manta_🎶" count="0"/>
    <cacheHierarchy uniqueName="[Measures].[Total artistas]" caption="Total artistas" measure="1" displayFolder="" measureGroup="carretera_y_manta_🎶" count="0"/>
    <cacheHierarchy uniqueName="[Measures].[Total álbumes]" caption="Total álbumes" measure="1" displayFolder="" measureGroup="carretera_y_manta_🎶" count="0"/>
    <cacheHierarchy uniqueName="[Measures].[Popularidad promedio]" caption="Popularidad promedio" measure="1" displayFolder="" measureGroup="carretera_y_manta_🎶" count="0"/>
    <cacheHierarchy uniqueName="[Measures].[Canciones explícitas]" caption="Canciones explícitas" measure="1" displayFolder="" measureGroup="carretera_y_manta_🎶" count="0"/>
    <cacheHierarchy uniqueName="[Measures].[No explícitas]" caption="No explícitas" measure="1" displayFolder="" measureGroup="carretera_y_manta_🎶" count="0"/>
    <cacheHierarchy uniqueName="[Measures].[% Explicitas]" caption="% Explicitas" measure="1" displayFolder="" measureGroup="carretera_y_manta_🎶" count="0"/>
    <cacheHierarchy uniqueName="[Measures].[Duracion Total]" caption="Duracion Total" measure="1" displayFolder="" measureGroup="carretera_y_manta_🎶" count="0"/>
    <cacheHierarchy uniqueName="[Measures].[Duracion Promedio]" caption="Duracion Promedio" measure="1" displayFolder="" measureGroup="carretera_y_manta_🎶" count="0"/>
    <cacheHierarchy uniqueName="[Measures].[Cancion mas larga]" caption="Cancion mas larga" measure="1" displayFolder="" measureGroup="carretera_y_manta_🎶" count="0" oneField="1">
      <fieldsUsage count="1">
        <fieldUsage x="0"/>
      </fieldsUsage>
    </cacheHierarchy>
    <cacheHierarchy uniqueName="[Measures].[Cancion mas popular]" caption="Cancion mas popular" measure="1" displayFolder="" measureGroup="carretera_y_manta_🎶" count="0" oneField="1">
      <fieldsUsage count="1">
        <fieldUsage x="1"/>
      </fieldsUsage>
    </cacheHierarchy>
    <cacheHierarchy uniqueName="[Measures].[Canción más corta]" caption="Canción más corta" measure="1" displayFolder="" measureGroup="carretera_y_manta_🎶" count="0" oneField="1">
      <fieldsUsage count="1">
        <fieldUsage x="2"/>
      </fieldsUsage>
    </cacheHierarchy>
    <cacheHierarchy uniqueName="[Measures].[Canción menos popular]" caption="Canción menos popular" measure="1" displayFolder="" measureGroup="carretera_y_manta_🎶" count="0" oneField="1">
      <fieldsUsage count="1">
        <fieldUsage x="3"/>
      </fieldsUsage>
    </cacheHierarchy>
    <cacheHierarchy uniqueName="[Measures].[Álbum con más canciones]" caption="Álbum con más canciones" measure="1" displayFolder="" measureGroup="carretera_y_manta_🎶" count="0" oneField="1">
      <fieldsUsage count="1">
        <fieldUsage x="4"/>
      </fieldsUsage>
    </cacheHierarchy>
    <cacheHierarchy uniqueName="[Measures].[__XL_Count carretera_y_manta_🎶]" caption="__XL_Count carretera_y_manta_🎶" measure="1" displayFolder="" measureGroup="carretera_y_manta_🎶" count="0" hidden="1"/>
    <cacheHierarchy uniqueName="[Measures].[__XL_Count spotify]" caption="__XL_Count spotify" measure="1" displayFolder="" measureGroup="spotify" count="0" hidden="1"/>
    <cacheHierarchy uniqueName="[Measures].[__No measures defined]" caption="__No measures defined" measure="1" displayFolder="" count="0" hidden="1"/>
  </cacheHierarchies>
  <kpis count="0"/>
  <dimensions count="3">
    <dimension name="carretera_y_manta_🎶" uniqueName="[carretera_y_manta_🎶]" caption="carretera_y_manta_🎶"/>
    <dimension measure="1" name="Measures" uniqueName="[Measures]" caption="Measures"/>
    <dimension name="spotify" uniqueName="[spotify]" caption="spotify"/>
  </dimensions>
  <measureGroups count="2">
    <measureGroup name="carretera_y_manta_🎶" caption="carretera_y_manta_🎶"/>
    <measureGroup name="spotify" caption="spotify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LLELI-PC" refreshedDate="46252.863846296299" backgroundQuery="1" createdVersion="3" refreshedVersion="8" minRefreshableVersion="3" recordCount="0" supportSubquery="1" supportAdvancedDrill="1" xr:uid="{8CDD2D73-C2F9-4EFC-9F5E-63DB9F7008D0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8">
    <cacheHierarchy uniqueName="[carretera_y_manta_🎶].[Nombre de la canción]" caption="Nombre de la canción" attribute="1" defaultMemberUniqueName="[carretera_y_manta_🎶].[Nombre de la canción].[All]" allUniqueName="[carretera_y_manta_🎶].[Nombre de la canción].[All]" dimensionUniqueName="[carretera_y_manta_🎶]" displayFolder="" count="0" memberValueDatatype="130" unbalanced="0"/>
    <cacheHierarchy uniqueName="[carretera_y_manta_🎶].[Nombre(s) del artista]" caption="Nombre(s) del artista" attribute="1" defaultMemberUniqueName="[carretera_y_manta_🎶].[Nombre(s) del artista].[All]" allUniqueName="[carretera_y_manta_🎶].[Nombre(s) del artista].[All]" dimensionUniqueName="[carretera_y_manta_🎶]" displayFolder="" count="0" memberValueDatatype="130" unbalanced="0"/>
    <cacheHierarchy uniqueName="[carretera_y_manta_🎶].[Artista Principal]" caption="Artista Principal" attribute="1" defaultMemberUniqueName="[carretera_y_manta_🎶].[Artista Principal].[All]" allUniqueName="[carretera_y_manta_🎶].[Artista Principal].[All]" dimensionUniqueName="[carretera_y_manta_🎶]" displayFolder="" count="2" memberValueDatatype="130" unbalanced="0"/>
    <cacheHierarchy uniqueName="[carretera_y_manta_🎶].[Nombre del álbum]" caption="Nombre del álbum" attribute="1" defaultMemberUniqueName="[carretera_y_manta_🎶].[Nombre del álbum].[All]" allUniqueName="[carretera_y_manta_🎶].[Nombre del álbum].[All]" dimensionUniqueName="[carretera_y_manta_🎶]" displayFolder="" count="0" memberValueDatatype="130" unbalanced="0"/>
    <cacheHierarchy uniqueName="[carretera_y_manta_🎶].[Fecha de lanzamiento del álbum]" caption="Fecha de lanzamiento del álbum" attribute="1" defaultMemberUniqueName="[carretera_y_manta_🎶].[Fecha de lanzamiento del álbum].[All]" allUniqueName="[carretera_y_manta_🎶].[Fecha de lanzamiento del álbum].[All]" dimensionUniqueName="[carretera_y_manta_🎶]" displayFolder="" count="0" memberValueDatatype="130" unbalanced="0"/>
    <cacheHierarchy uniqueName="[carretera_y_manta_🎶].[Año de lanzamiento del álbum]" caption="Año de lanzamiento del álbum" attribute="1" defaultMemberUniqueName="[carretera_y_manta_🎶].[Año de lanzamiento del álbum].[All]" allUniqueName="[carretera_y_manta_🎶].[Año de lanzamiento del álbum].[All]" dimensionUniqueName="[carretera_y_manta_🎶]" displayFolder="" count="2" memberValueDatatype="20" unbalanced="0"/>
    <cacheHierarchy uniqueName="[carretera_y_manta_🎶].[Duración de la canción (ms)]" caption="Duración de la canción (ms)" attribute="1" defaultMemberUniqueName="[carretera_y_manta_🎶].[Duración de la canción (ms)].[All]" allUniqueName="[carretera_y_manta_🎶].[Duración de la canción (ms)].[All]" dimensionUniqueName="[carretera_y_manta_🎶]" displayFolder="" count="0" memberValueDatatype="20" unbalanced="0"/>
    <cacheHierarchy uniqueName="[carretera_y_manta_🎶].[Duración segundos (s)]" caption="Duración segundos (s)" attribute="1" defaultMemberUniqueName="[carretera_y_manta_🎶].[Duración segundos (s)].[All]" allUniqueName="[carretera_y_manta_🎶].[Duración segundos (s)].[All]" dimensionUniqueName="[carretera_y_manta_🎶]" displayFolder="" count="0" memberValueDatatype="130" unbalanced="0"/>
    <cacheHierarchy uniqueName="[carretera_y_manta_🎶].[Duración categoría]" caption="Duración categoría" attribute="1" defaultMemberUniqueName="[carretera_y_manta_🎶].[Duración categoría].[All]" allUniqueName="[carretera_y_manta_🎶].[Duración categoría].[All]" dimensionUniqueName="[carretera_y_manta_🎶]" displayFolder="" count="0" memberValueDatatype="130" unbalanced="0"/>
    <cacheHierarchy uniqueName="[carretera_y_manta_🎶].[Popularidad]" caption="Popularidad" attribute="1" defaultMemberUniqueName="[carretera_y_manta_🎶].[Popularidad].[All]" allUniqueName="[carretera_y_manta_🎶].[Popularidad].[All]" dimensionUniqueName="[carretera_y_manta_🎶]" displayFolder="" count="0" memberValueDatatype="20" unbalanced="0"/>
    <cacheHierarchy uniqueName="[carretera_y_manta_🎶].[Categoría popularidad]" caption="Categoría popularidad" attribute="1" defaultMemberUniqueName="[carretera_y_manta_🎶].[Categoría popularidad].[All]" allUniqueName="[carretera_y_manta_🎶].[Categoría popularidad].[All]" dimensionUniqueName="[carretera_y_manta_🎶]" displayFolder="" count="0" memberValueDatatype="130" unbalanced="0"/>
    <cacheHierarchy uniqueName="[carretera_y_manta_🎶].[Explícito]" caption="Explícito" attribute="1" defaultMemberUniqueName="[carretera_y_manta_🎶].[Explícito].[All]" allUniqueName="[carretera_y_manta_🎶].[Explícito].[All]" dimensionUniqueName="[carretera_y_manta_🎶]" displayFolder="" count="0" memberValueDatatype="11" unbalanced="0"/>
    <cacheHierarchy uniqueName="[carretera_y_manta_🎶].[Añadido en]" caption="Añadido en" attribute="1" time="1" defaultMemberUniqueName="[carretera_y_manta_🎶].[Añadido en].[All]" allUniqueName="[carretera_y_manta_🎶].[Añadido en].[All]" dimensionUniqueName="[carretera_y_manta_🎶]" displayFolder="" count="0" memberValueDatatype="7" unbalanced="0"/>
    <cacheHierarchy uniqueName="[carretera_y_manta_🎶].[Año Añadido]" caption="Año Añadido" attribute="1" defaultMemberUniqueName="[carretera_y_manta_🎶].[Año Añadido].[All]" allUniqueName="[carretera_y_manta_🎶].[Año Añadido].[All]" dimensionUniqueName="[carretera_y_manta_🎶]" displayFolder="" count="0" memberValueDatatype="20" unbalanced="0"/>
    <cacheHierarchy uniqueName="[spotify].[Nombre de la canción]" caption="Nombre de la canción" attribute="1" defaultMemberUniqueName="[spotify].[Nombre de la canción].[All]" allUniqueName="[spotify].[Nombre de la canción].[All]" dimensionUniqueName="[spotify]" displayFolder="" count="0" memberValueDatatype="130" unbalanced="0"/>
    <cacheHierarchy uniqueName="[spotify].[Nombre(s) del artista]" caption="Nombre(s) del artista" attribute="1" defaultMemberUniqueName="[spotify].[Nombre(s) del artista].[All]" allUniqueName="[spotify].[Nombre(s) del artista].[All]" dimensionUniqueName="[spotify]" displayFolder="" count="0" memberValueDatatype="130" unbalanced="0"/>
    <cacheHierarchy uniqueName="[spotify].[Artista Principal]" caption="Artista Principal" attribute="1" defaultMemberUniqueName="[spotify].[Artista Principal].[All]" allUniqueName="[spotify].[Artista Principal].[All]" dimensionUniqueName="[spotify]" displayFolder="" count="0" memberValueDatatype="130" unbalanced="0"/>
    <cacheHierarchy uniqueName="[spotify].[Nombre del álbum]" caption="Nombre del álbum" attribute="1" defaultMemberUniqueName="[spotify].[Nombre del álbum].[All]" allUniqueName="[spotify].[Nombre del álbum].[All]" dimensionUniqueName="[spotify]" displayFolder="" count="0" memberValueDatatype="130" unbalanced="0"/>
    <cacheHierarchy uniqueName="[spotify].[Fecha de lanzamiento del álbum]" caption="Fecha de lanzamiento del álbum" attribute="1" defaultMemberUniqueName="[spotify].[Fecha de lanzamiento del álbum].[All]" allUniqueName="[spotify].[Fecha de lanzamiento del álbum].[All]" dimensionUniqueName="[spotify]" displayFolder="" count="0" memberValueDatatype="130" unbalanced="0"/>
    <cacheHierarchy uniqueName="[spotify].[Año de lanzamiento del álbum]" caption="Año de lanzamiento del álbum" attribute="1" defaultMemberUniqueName="[spotify].[Año de lanzamiento del álbum].[All]" allUniqueName="[spotify].[Año de lanzamiento del álbum].[All]" dimensionUniqueName="[spotify]" displayFolder="" count="0" memberValueDatatype="20" unbalanced="0"/>
    <cacheHierarchy uniqueName="[spotify].[Duración de la canción (ms)]" caption="Duración de la canción (ms)" attribute="1" defaultMemberUniqueName="[spotify].[Duración de la canción (ms)].[All]" allUniqueName="[spotify].[Duración de la canción (ms)].[All]" dimensionUniqueName="[spotify]" displayFolder="" count="0" memberValueDatatype="20" unbalanced="0"/>
    <cacheHierarchy uniqueName="[spotify].[Duración segundos (s)]" caption="Duración segundos (s)" attribute="1" defaultMemberUniqueName="[spotify].[Duración segundos (s)].[All]" allUniqueName="[spotify].[Duración segundos (s)].[All]" dimensionUniqueName="[spotify]" displayFolder="" count="0" memberValueDatatype="130" unbalanced="0"/>
    <cacheHierarchy uniqueName="[spotify].[Duración categoría]" caption="Duración categoría" attribute="1" defaultMemberUniqueName="[spotify].[Duración categoría].[All]" allUniqueName="[spotify].[Duración categoría].[All]" dimensionUniqueName="[spotify]" displayFolder="" count="0" memberValueDatatype="130" unbalanced="0"/>
    <cacheHierarchy uniqueName="[spotify].[Popularidad]" caption="Popularidad" attribute="1" defaultMemberUniqueName="[spotify].[Popularidad].[All]" allUniqueName="[spotify].[Popularidad].[All]" dimensionUniqueName="[spotify]" displayFolder="" count="0" memberValueDatatype="20" unbalanced="0"/>
    <cacheHierarchy uniqueName="[spotify].[Categoría popularidad]" caption="Categoría popularidad" attribute="1" defaultMemberUniqueName="[spotify].[Categoría popularidad].[All]" allUniqueName="[spotify].[Categoría popularidad].[All]" dimensionUniqueName="[spotify]" displayFolder="" count="0" memberValueDatatype="130" unbalanced="0"/>
    <cacheHierarchy uniqueName="[spotify].[Explícito]" caption="Explícito" attribute="1" defaultMemberUniqueName="[spotify].[Explícito].[All]" allUniqueName="[spotify].[Explícito].[All]" dimensionUniqueName="[spotify]" displayFolder="" count="0" memberValueDatatype="11" unbalanced="0"/>
    <cacheHierarchy uniqueName="[spotify].[Añadido en]" caption="Añadido en" attribute="1" time="1" defaultMemberUniqueName="[spotify].[Añadido en].[All]" allUniqueName="[spotify].[Añadido en].[All]" dimensionUniqueName="[spotify]" displayFolder="" count="0" memberValueDatatype="7" unbalanced="0"/>
    <cacheHierarchy uniqueName="[spotify].[Año Añadido]" caption="Año Añadido" attribute="1" defaultMemberUniqueName="[spotify].[Año Añadido].[All]" allUniqueName="[spotify].[Año Añadido].[All]" dimensionUniqueName="[spotify]" displayFolder="" count="0" memberValueDatatype="20" unbalanced="0"/>
    <cacheHierarchy uniqueName="[Measures].[Recuento de Nombre del álbum]" caption="Recuento de Nombre del álbum" measure="1" displayFolder="" measureGroup="carretera_y_manta_🎶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Duración categoría]" caption="Recuento de Duración categoría" measure="1" displayFolder="" measureGroup="carretera_y_manta_🎶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ombre de la canción]" caption="Recuento de Nombre de la canción" measure="1" displayFolder="" measureGroup="carretera_y_manta_🎶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Total de canciones]" caption="Total de canciones" measure="1" displayFolder="" measureGroup="carretera_y_manta_🎶" count="0"/>
    <cacheHierarchy uniqueName="[Measures].[Total artistas]" caption="Total artistas" measure="1" displayFolder="" measureGroup="carretera_y_manta_🎶" count="0"/>
    <cacheHierarchy uniqueName="[Measures].[Total álbumes]" caption="Total álbumes" measure="1" displayFolder="" measureGroup="carretera_y_manta_🎶" count="0"/>
    <cacheHierarchy uniqueName="[Measures].[Popularidad promedio]" caption="Popularidad promedio" measure="1" displayFolder="" measureGroup="carretera_y_manta_🎶" count="0"/>
    <cacheHierarchy uniqueName="[Measures].[Canciones explícitas]" caption="Canciones explícitas" measure="1" displayFolder="" measureGroup="carretera_y_manta_🎶" count="0"/>
    <cacheHierarchy uniqueName="[Measures].[No explícitas]" caption="No explícitas" measure="1" displayFolder="" measureGroup="carretera_y_manta_🎶" count="0"/>
    <cacheHierarchy uniqueName="[Measures].[% Explicitas]" caption="% Explicitas" measure="1" displayFolder="" measureGroup="carretera_y_manta_🎶" count="0"/>
    <cacheHierarchy uniqueName="[Measures].[Duracion Total]" caption="Duracion Total" measure="1" displayFolder="" measureGroup="carretera_y_manta_🎶" count="0"/>
    <cacheHierarchy uniqueName="[Measures].[Duracion Promedio]" caption="Duracion Promedio" measure="1" displayFolder="" measureGroup="carretera_y_manta_🎶" count="0"/>
    <cacheHierarchy uniqueName="[Measures].[Cancion mas larga]" caption="Cancion mas larga" measure="1" displayFolder="" measureGroup="carretera_y_manta_🎶" count="0"/>
    <cacheHierarchy uniqueName="[Measures].[Cancion mas popular]" caption="Cancion mas popular" measure="1" displayFolder="" measureGroup="carretera_y_manta_🎶" count="0"/>
    <cacheHierarchy uniqueName="[Measures].[Canción más corta]" caption="Canción más corta" measure="1" displayFolder="" measureGroup="carretera_y_manta_🎶" count="0"/>
    <cacheHierarchy uniqueName="[Measures].[Canción menos popular]" caption="Canción menos popular" measure="1" displayFolder="" measureGroup="carretera_y_manta_🎶" count="0"/>
    <cacheHierarchy uniqueName="[Measures].[Álbum con más canciones]" caption="Álbum con más canciones" measure="1" displayFolder="" measureGroup="carretera_y_manta_🎶" count="0"/>
    <cacheHierarchy uniqueName="[Measures].[__XL_Count carretera_y_manta_🎶]" caption="__XL_Count carretera_y_manta_🎶" measure="1" displayFolder="" measureGroup="carretera_y_manta_🎶" count="0" hidden="1"/>
    <cacheHierarchy uniqueName="[Measures].[__XL_Count spotify]" caption="__XL_Count spotify" measure="1" displayFolder="" measureGroup="spotify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931953588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9">
  <r>
    <s v="Tocado y hundido"/>
    <s v="Melendi"/>
    <x v="0"/>
    <s v="Un alumno más"/>
    <s v="2014-11-25"/>
    <n v="2014"/>
    <n v="211586"/>
    <s v="211.586"/>
    <s v="3–4 min"/>
    <n v="2"/>
    <s v="Muy baja"/>
    <b v="0"/>
    <d v="2026-07-24T09:20:19"/>
    <n v="2026"/>
  </r>
  <r>
    <s v="Habitantes de un Mismo Planeta"/>
    <s v="Melendi"/>
    <x v="0"/>
    <s v="Ahora"/>
    <s v="2018-03-09"/>
    <n v="2018"/>
    <n v="258519"/>
    <s v="258.519"/>
    <s v="4–5 min"/>
    <n v="34"/>
    <s v="Baja"/>
    <b v="0"/>
    <d v="2026-07-24T09:20:19"/>
    <n v="2026"/>
  </r>
  <r>
    <s v="Una Noche Para Siempre"/>
    <s v="Melendi"/>
    <x v="0"/>
    <s v="10:20:40"/>
    <s v="2019-11-29"/>
    <n v="2019"/>
    <n v="233386"/>
    <s v="233.386"/>
    <s v="3–4 min"/>
    <n v="45"/>
    <s v="Media"/>
    <b v="0"/>
    <d v="2026-07-24T09:20:19"/>
    <n v="2026"/>
  </r>
  <r>
    <s v="Adiós Soledad"/>
    <s v="Melendi"/>
    <x v="0"/>
    <s v="10:20:40"/>
    <s v="2019-11-29"/>
    <n v="2019"/>
    <n v="243680"/>
    <s v="243.68"/>
    <s v="4–5 min"/>
    <n v="45"/>
    <s v="Media"/>
    <b v="0"/>
    <d v="2026-07-24T09:20:19"/>
    <n v="2026"/>
  </r>
  <r>
    <s v="Hace Falta un Milagro"/>
    <s v="Melendi"/>
    <x v="0"/>
    <s v="10:20:40"/>
    <s v="2019-11-29"/>
    <n v="2019"/>
    <n v="230693"/>
    <s v="230.693"/>
    <s v="3–4 min"/>
    <n v="45"/>
    <s v="Media"/>
    <b v="0"/>
    <d v="2026-07-24T09:20:19"/>
    <n v="2026"/>
  </r>
  <r>
    <s v="89 Grados Fahrenheit"/>
    <s v="Melendi"/>
    <x v="0"/>
    <s v="10:20:40"/>
    <s v="2019-11-29"/>
    <n v="2019"/>
    <n v="208146"/>
    <s v="208.146"/>
    <s v="3–4 min"/>
    <n v="45"/>
    <s v="Media"/>
    <b v="0"/>
    <d v="2026-07-24T09:20:19"/>
    <n v="2026"/>
  </r>
  <r>
    <s v="Tiempos de Re-Evolución"/>
    <s v="Melendi"/>
    <x v="0"/>
    <s v="Ahora"/>
    <s v="2018-03-09"/>
    <n v="2018"/>
    <n v="222186"/>
    <s v="222.186"/>
    <s v="3–4 min"/>
    <n v="31"/>
    <s v="Baja"/>
    <b v="0"/>
    <d v="2026-07-24T09:20:19"/>
    <n v="2026"/>
  </r>
  <r>
    <s v="Negro Sin Ti"/>
    <s v="Melendi"/>
    <x v="0"/>
    <s v="Ahora"/>
    <s v="2018-03-09"/>
    <n v="2018"/>
    <n v="220453"/>
    <s v="220.453"/>
    <s v="3–4 min"/>
    <n v="34"/>
    <s v="Baja"/>
    <b v="0"/>
    <d v="2026-07-24T09:20:19"/>
    <n v="2026"/>
  </r>
  <r>
    <s v="La Dama y el Vagabundo"/>
    <s v="Melendi"/>
    <x v="0"/>
    <s v="Yo me veo contigo"/>
    <s v="2017-12-08"/>
    <n v="2017"/>
    <n v="172946"/>
    <s v="172.946"/>
    <s v="2–3 min"/>
    <n v="32"/>
    <s v="Baja"/>
    <b v="0"/>
    <d v="2026-07-24T09:20:19"/>
    <n v="2026"/>
  </r>
  <r>
    <s v="Un Amor Tan Grande"/>
    <s v="Melendi"/>
    <x v="0"/>
    <s v="Quítate las Gafas"/>
    <s v="2016-11-11"/>
    <n v="2016"/>
    <n v="286240"/>
    <s v="286.24"/>
    <s v="4–5 min"/>
    <n v="39"/>
    <s v="Baja"/>
    <b v="0"/>
    <d v="2026-07-24T09:20:19"/>
    <n v="2026"/>
  </r>
  <r>
    <s v="Existen los ángeles"/>
    <s v="Melendi"/>
    <x v="0"/>
    <s v="Yo me veo contigo"/>
    <s v="2017-12-08"/>
    <n v="2017"/>
    <n v="261120"/>
    <s v="261.12"/>
    <s v="4–5 min"/>
    <n v="42"/>
    <s v="Media"/>
    <b v="0"/>
    <d v="2026-07-24T09:20:19"/>
    <n v="2026"/>
  </r>
  <r>
    <s v="Mírame"/>
    <s v="Melendi"/>
    <x v="0"/>
    <s v="Ahora"/>
    <s v="2018-03-09"/>
    <n v="2018"/>
    <n v="254400"/>
    <s v="254.4"/>
    <s v="4–5 min"/>
    <n v="45"/>
    <s v="Media"/>
    <b v="0"/>
    <d v="2026-07-24T09:20:19"/>
    <n v="2026"/>
  </r>
  <r>
    <s v="Septiembre"/>
    <s v="Melendi"/>
    <x v="0"/>
    <s v="Un alumno más"/>
    <s v="2014-11-25"/>
    <n v="2014"/>
    <n v="246466"/>
    <s v="246.466"/>
    <s v="4–5 min"/>
    <n v="0"/>
    <s v="Muy baja"/>
    <b v="0"/>
    <d v="2026-07-24T09:20:19"/>
    <n v="2026"/>
  </r>
  <r>
    <s v="El amor es un arte"/>
    <s v="Melendi"/>
    <x v="0"/>
    <s v="Un alumno más"/>
    <s v="2014-11-25"/>
    <n v="2014"/>
    <n v="265880"/>
    <s v="265.88"/>
    <s v="4–5 min"/>
    <n v="0"/>
    <s v="Muy baja"/>
    <b v="0"/>
    <d v="2026-07-24T09:20:19"/>
    <n v="2026"/>
  </r>
  <r>
    <s v="La promesa"/>
    <s v="Melendi"/>
    <x v="0"/>
    <s v="Un alumno más"/>
    <s v="2014-11-25"/>
    <n v="2014"/>
    <n v="233040"/>
    <s v="233.04"/>
    <s v="3–4 min"/>
    <n v="5"/>
    <s v="Muy baja"/>
    <b v="0"/>
    <d v="2026-07-24T09:20:19"/>
    <n v="2026"/>
  </r>
  <r>
    <s v="Tu jardín con enanitos"/>
    <s v="Melendi"/>
    <x v="0"/>
    <s v="Lágrimas desordenadas"/>
    <s v="2012-11-13"/>
    <n v="2012"/>
    <n v="236975"/>
    <s v="236.975"/>
    <s v="3–4 min"/>
    <n v="77"/>
    <s v="Alta"/>
    <b v="0"/>
    <d v="2026-07-24T09:20:19"/>
    <n v="2026"/>
  </r>
  <r>
    <s v="Soy Tu Superhéroe"/>
    <s v="Melendi"/>
    <x v="0"/>
    <s v="Quítate las Gafas"/>
    <s v="2016-11-11"/>
    <n v="2016"/>
    <n v="268426"/>
    <s v="268.426"/>
    <s v="4–5 min"/>
    <n v="37"/>
    <s v="Baja"/>
    <b v="0"/>
    <d v="2026-07-24T09:20:19"/>
    <n v="2026"/>
  </r>
  <r>
    <s v="La Chica Perfecta"/>
    <s v="Melendi"/>
    <x v="0"/>
    <s v="10:20:40"/>
    <s v="2019-11-29"/>
    <n v="2019"/>
    <n v="203560"/>
    <s v="203.56"/>
    <s v="3–4 min"/>
    <n v="50"/>
    <s v="Media"/>
    <b v="0"/>
    <d v="2026-07-24T09:20:19"/>
    <n v="2026"/>
  </r>
  <r>
    <s v="Un violinista en tu tejado"/>
    <s v="Melendi"/>
    <x v="0"/>
    <s v="Curiosa La Cara De Tu Padre"/>
    <s v="2008-09-16"/>
    <n v="2008"/>
    <n v="222720"/>
    <s v="222.72"/>
    <s v="3–4 min"/>
    <n v="69"/>
    <s v="Alta"/>
    <b v="0"/>
    <d v="2026-07-24T09:20:19"/>
    <n v="2026"/>
  </r>
  <r>
    <s v="Posdata"/>
    <s v="Melendi"/>
    <x v="0"/>
    <s v="Un alumno más"/>
    <s v="2014-11-25"/>
    <n v="2014"/>
    <n v="276413"/>
    <s v="276.413"/>
    <s v="4–5 min"/>
    <n v="0"/>
    <s v="Muy baja"/>
    <b v="0"/>
    <d v="2026-07-24T09:20:19"/>
    <n v="2026"/>
  </r>
  <r>
    <s v="Lo Que Nos Merecemos"/>
    <s v="Melendi"/>
    <x v="0"/>
    <s v="Ahora"/>
    <s v="2018-03-09"/>
    <n v="2018"/>
    <n v="237626"/>
    <s v="237.626"/>
    <s v="3–4 min"/>
    <n v="55"/>
    <s v="Media"/>
    <b v="0"/>
    <d v="2026-07-24T09:20:19"/>
    <n v="2026"/>
  </r>
  <r>
    <s v="Quítate las Gafas"/>
    <s v="Melendi"/>
    <x v="0"/>
    <s v="Quítate las Gafas"/>
    <s v="2016-11-11"/>
    <n v="2016"/>
    <n v="235720"/>
    <s v="235.72"/>
    <s v="3–4 min"/>
    <n v="34"/>
    <s v="Baja"/>
    <b v="0"/>
    <d v="2026-07-24T09:20:19"/>
    <n v="2026"/>
  </r>
  <r>
    <s v="Cheque al portamor"/>
    <s v="Melendi"/>
    <x v="0"/>
    <s v="Lágrimas desordenadas"/>
    <s v="2012-11-13"/>
    <n v="2012"/>
    <n v="295718"/>
    <s v="295.718"/>
    <s v="4–5 min"/>
    <n v="67"/>
    <s v="Alta"/>
    <b v="0"/>
    <d v="2026-07-24T09:20:19"/>
    <n v="2026"/>
  </r>
  <r>
    <s v="Por amarte tanto"/>
    <s v="Melendi"/>
    <x v="0"/>
    <s v="Mientras No Cueste Trabajo"/>
    <s v="2006-11-13"/>
    <n v="2006"/>
    <n v="196813"/>
    <s v="196.813"/>
    <s v="3–4 min"/>
    <n v="46"/>
    <s v="Media"/>
    <b v="0"/>
    <d v="2026-07-24T09:20:19"/>
    <n v="2026"/>
  </r>
  <r>
    <s v="Con Tu Amor Es Suficiente"/>
    <s v="Melendi"/>
    <x v="0"/>
    <s v="Que El Cielo Espere Sentao.."/>
    <s v="2005"/>
    <n v="2005"/>
    <n v="189146"/>
    <s v="189.146"/>
    <s v="3–4 min"/>
    <n v="41"/>
    <s v="Media"/>
    <b v="0"/>
    <d v="2026-07-24T09:20:19"/>
    <n v="2026"/>
  </r>
  <r>
    <s v="Lo Nuestro Fue Muy Top"/>
    <s v="Melendi"/>
    <x v="0"/>
    <s v="Ahora"/>
    <s v="2018-03-09"/>
    <n v="2018"/>
    <n v="228693"/>
    <s v="228.693"/>
    <s v="3–4 min"/>
    <n v="45"/>
    <s v="Media"/>
    <b v="0"/>
    <d v="2026-07-24T09:20:19"/>
    <n v="2026"/>
  </r>
  <r>
    <s v="Kisiera yo saber"/>
    <s v="Melendi"/>
    <x v="0"/>
    <s v="Mientras No Cueste Trabajo"/>
    <s v="2006-11-13"/>
    <n v="2006"/>
    <n v="212693"/>
    <s v="212.693"/>
    <s v="3–4 min"/>
    <n v="65"/>
    <s v="Alta"/>
    <b v="0"/>
    <d v="2026-07-24T09:20:19"/>
    <n v="2026"/>
  </r>
  <r>
    <s v="Calle la Pantomima"/>
    <s v="Melendi"/>
    <x v="0"/>
    <s v="Mientras No Cueste Trabajo"/>
    <s v="2006-11-13"/>
    <n v="2006"/>
    <n v="188293"/>
    <s v="188.293"/>
    <s v="3–4 min"/>
    <n v="54"/>
    <s v="Media"/>
    <b v="0"/>
    <d v="2026-07-24T09:20:19"/>
    <n v="2026"/>
  </r>
  <r>
    <s v="Tú de Elvis yo de Marilyn"/>
    <s v="Melendi"/>
    <x v="0"/>
    <s v="Un alumno más"/>
    <s v="2014-11-25"/>
    <n v="2014"/>
    <n v="224040"/>
    <s v="224.04"/>
    <s v="3–4 min"/>
    <n v="0"/>
    <s v="Muy baja"/>
    <b v="0"/>
    <d v="2026-07-24T09:20:19"/>
    <n v="2026"/>
  </r>
  <r>
    <s v="Desde Que Estamos Juntos"/>
    <s v="Melendi"/>
    <x v="0"/>
    <s v="Quítate las Gafas"/>
    <s v="2016-11-11"/>
    <n v="2016"/>
    <n v="274440"/>
    <s v="274.44"/>
    <s v="4–5 min"/>
    <n v="61"/>
    <s v="Alta"/>
    <b v="0"/>
    <d v="2026-07-24T09:20:19"/>
    <n v="2026"/>
  </r>
  <r>
    <s v="Sin Remitente"/>
    <s v="Melendi"/>
    <x v="0"/>
    <s v="10:20:40"/>
    <s v="2019-11-29"/>
    <n v="2019"/>
    <n v="245573"/>
    <s v="245.573"/>
    <s v="4–5 min"/>
    <n v="58"/>
    <s v="Media"/>
    <b v="0"/>
    <d v="2026-07-24T09:20:19"/>
    <n v="2026"/>
  </r>
  <r>
    <s v="Con sólo una sonrisa"/>
    <s v="Melendi"/>
    <x v="0"/>
    <s v="Que El Cielo Espere Sentao.."/>
    <s v="2005"/>
    <n v="2005"/>
    <n v="229960"/>
    <s v="229.96"/>
    <s v="3–4 min"/>
    <n v="65"/>
    <s v="Alta"/>
    <b v="0"/>
    <d v="2026-07-24T09:20:19"/>
    <n v="2026"/>
  </r>
  <r>
    <s v="La Casa No Es Igual"/>
    <s v="Melendi"/>
    <x v="0"/>
    <s v="Quítate las Gafas"/>
    <s v="2016-11-11"/>
    <n v="2016"/>
    <n v="213786"/>
    <s v="213.786"/>
    <s v="3–4 min"/>
    <n v="54"/>
    <s v="Media"/>
    <b v="0"/>
    <d v="2026-07-24T09:20:19"/>
    <n v="2026"/>
  </r>
  <r>
    <s v="Autofotos"/>
    <s v="Melendi"/>
    <x v="0"/>
    <s v="Yo me veo contigo"/>
    <s v="2017-12-08"/>
    <n v="2017"/>
    <n v="210600"/>
    <s v="210.6"/>
    <s v="3–4 min"/>
    <n v="29"/>
    <s v="Baja"/>
    <b v="0"/>
    <d v="2026-07-24T09:20:19"/>
    <n v="2026"/>
  </r>
  <r>
    <s v="Caminando por la vida"/>
    <s v="Melendi"/>
    <x v="0"/>
    <s v="Que El Cielo Espere Sentao.."/>
    <s v="2005"/>
    <n v="2005"/>
    <n v="211680"/>
    <s v="211.68"/>
    <s v="3–4 min"/>
    <n v="71"/>
    <s v="Alta"/>
    <b v="0"/>
    <d v="2026-07-24T09:20:19"/>
    <n v="2026"/>
  </r>
  <r>
    <s v="Yo me veo contigo"/>
    <s v="Melendi"/>
    <x v="0"/>
    <s v="Yo me veo contigo"/>
    <s v="2017-12-08"/>
    <n v="2017"/>
    <n v="295680"/>
    <s v="295.68"/>
    <s v="4–5 min"/>
    <n v="43"/>
    <s v="Media"/>
    <b v="0"/>
    <d v="2026-07-24T09:20:19"/>
    <n v="2026"/>
  </r>
  <r>
    <s v="Para Que No Se Escapen Tus Mariposas"/>
    <s v="Melendi"/>
    <x v="0"/>
    <s v="Ahora"/>
    <s v="2018-03-09"/>
    <n v="2018"/>
    <n v="246840"/>
    <s v="246.84"/>
    <s v="4–5 min"/>
    <n v="39"/>
    <s v="Baja"/>
    <b v="0"/>
    <d v="2026-07-24T09:20:19"/>
    <n v="2026"/>
  </r>
  <r>
    <s v="Novia a la fuga"/>
    <s v="Melendi"/>
    <x v="0"/>
    <s v="Que El Cielo Espere Sentao.."/>
    <s v="2005"/>
    <n v="2005"/>
    <n v="185480"/>
    <s v="185.48"/>
    <s v="3–4 min"/>
    <n v="48"/>
    <s v="Media"/>
    <b v="0"/>
    <d v="2026-07-24T09:20:19"/>
    <n v="2026"/>
  </r>
  <r>
    <s v="Cenizas en la eternidad"/>
    <s v="Melendi"/>
    <x v="0"/>
    <s v="Un alumno más"/>
    <s v="2014-11-25"/>
    <n v="2014"/>
    <n v="356106"/>
    <s v="356.106"/>
    <s v="Más de 5 min"/>
    <n v="0"/>
    <s v="Muy baja"/>
    <b v="0"/>
    <d v="2026-07-24T09:20:19"/>
    <n v="2026"/>
  </r>
  <r>
    <s v="La religión de los idiotas"/>
    <s v="Melendi"/>
    <x v="0"/>
    <s v="Un alumno más"/>
    <s v="2014-11-25"/>
    <n v="2014"/>
    <n v="208826"/>
    <s v="208.826"/>
    <s v="3–4 min"/>
    <n v="0"/>
    <s v="Muy baja"/>
    <b v="0"/>
    <d v="2026-07-24T09:20:19"/>
    <n v="2026"/>
  </r>
  <r>
    <s v="Casi"/>
    <s v="Melendi"/>
    <x v="0"/>
    <s v="Casi"/>
    <s v="2019-11-01"/>
    <n v="2019"/>
    <n v="270773"/>
    <s v="270.773"/>
    <s v="4–5 min"/>
    <n v="0"/>
    <s v="Muy baja"/>
    <b v="0"/>
    <d v="2026-07-24T09:20:19"/>
    <n v="2026"/>
  </r>
  <r>
    <s v="Billy El Pistolero"/>
    <s v="Melendi"/>
    <x v="0"/>
    <s v="Que El Cielo Espere Sentao.."/>
    <s v="2005"/>
    <n v="2005"/>
    <n v="232373"/>
    <s v="232.373"/>
    <s v="3–4 min"/>
    <n v="47"/>
    <s v="Media"/>
    <b v="0"/>
    <d v="2026-07-24T09:20:19"/>
    <n v="2026"/>
  </r>
  <r>
    <s v="Barbie de extrarradio"/>
    <s v="Melendi"/>
    <x v="0"/>
    <s v="Volvamos a empezar (Deluxe edition)"/>
    <s v="2010-10-29"/>
    <n v="2010"/>
    <n v="215946"/>
    <s v="215.946"/>
    <s v="3–4 min"/>
    <n v="67"/>
    <s v="Alta"/>
    <b v="0"/>
    <d v="2026-07-24T09:20:19"/>
    <n v="2026"/>
  </r>
  <r>
    <s v="Qué Más Puede Salir Mal"/>
    <s v="Melendi"/>
    <x v="0"/>
    <s v="Aún Más Curiosa La Cara De Tu Padre"/>
    <s v="2009-03-24"/>
    <n v="2009"/>
    <n v="192453"/>
    <s v="192.453"/>
    <s v="3–4 min"/>
    <n v="26"/>
    <s v="Baja"/>
    <b v="0"/>
    <d v="2026-07-24T09:20:19"/>
    <n v="2026"/>
  </r>
  <r>
    <s v="Mi Código Postal"/>
    <s v="Melendi"/>
    <x v="0"/>
    <s v="Ahora"/>
    <s v="2018-03-09"/>
    <n v="2018"/>
    <n v="254053"/>
    <s v="254.053"/>
    <s v="4–5 min"/>
    <n v="39"/>
    <s v="Baja"/>
    <b v="0"/>
    <d v="2026-07-24T09:20:19"/>
    <n v="2026"/>
  </r>
  <r>
    <s v="Tan Tonto Como Tú"/>
    <s v="Melendi"/>
    <x v="0"/>
    <s v="10:20:40"/>
    <s v="2019-11-29"/>
    <n v="2019"/>
    <n v="239280"/>
    <s v="239.28"/>
    <s v="3–4 min"/>
    <n v="48"/>
    <s v="Media"/>
    <b v="0"/>
    <d v="2026-07-24T09:20:19"/>
    <n v="2026"/>
  </r>
  <r>
    <s v="Canción de amor caducada"/>
    <s v="Melendi"/>
    <x v="0"/>
    <s v="Yo me veo contigo"/>
    <s v="2017-12-08"/>
    <n v="2017"/>
    <n v="248346"/>
    <s v="248.346"/>
    <s v="4–5 min"/>
    <n v="32"/>
    <s v="Baja"/>
    <b v="0"/>
    <d v="2026-07-24T09:20:19"/>
    <n v="2026"/>
  </r>
  <r>
    <s v="Lágrimas desordenadas"/>
    <s v="Melendi"/>
    <x v="0"/>
    <s v="Yo me veo contigo"/>
    <s v="2017-12-08"/>
    <n v="2017"/>
    <n v="229308"/>
    <s v="229.308"/>
    <s v="3–4 min"/>
    <n v="31"/>
    <s v="Baja"/>
    <b v="0"/>
    <d v="2026-07-24T09:20:19"/>
    <n v="2026"/>
  </r>
  <r>
    <s v="Gracias Por Venir"/>
    <s v="Melendi"/>
    <x v="0"/>
    <s v="Gracias Por Venir"/>
    <s v="2023-02-11"/>
    <n v="2023"/>
    <n v="269135"/>
    <s v="269.135"/>
    <s v="4–5 min"/>
    <n v="42"/>
    <s v="Media"/>
    <b v="0"/>
    <d v="2026-07-24T09:20:19"/>
    <n v="2026"/>
  </r>
  <r>
    <s v="Destino o casualidad"/>
    <s v="Melendi"/>
    <x v="0"/>
    <s v="Yo me veo contigo"/>
    <s v="2017-12-08"/>
    <n v="2017"/>
    <n v="259146"/>
    <s v="259.146"/>
    <s v="4–5 min"/>
    <n v="53"/>
    <s v="Media"/>
    <b v="0"/>
    <d v="2026-07-24T09:20:19"/>
    <n v="2026"/>
  </r>
  <r>
    <s v="De pequeño fue el coco"/>
    <s v="Melendi"/>
    <x v="0"/>
    <s v="Yo me veo contigo"/>
    <s v="2017-12-08"/>
    <n v="2017"/>
    <n v="242840"/>
    <s v="242.84"/>
    <s v="4–5 min"/>
    <n v="26"/>
    <s v="Baja"/>
    <b v="0"/>
    <d v="2026-07-24T09:20:19"/>
    <n v="2026"/>
  </r>
  <r>
    <s v="Besos a la Lona"/>
    <s v="Melendi"/>
    <x v="0"/>
    <s v="Besos a la Lona"/>
    <s v="2018-11-30"/>
    <n v="2018"/>
    <n v="246677"/>
    <s v="246.677"/>
    <s v="4–5 min"/>
    <n v="47"/>
    <s v="Media"/>
    <b v="0"/>
    <d v="2026-07-24T09:20:19"/>
    <n v="2026"/>
  </r>
  <r>
    <s v="Colgado de la vecina"/>
    <s v="Melendi"/>
    <x v="0"/>
    <s v="Un alumno más"/>
    <s v="2014-11-25"/>
    <n v="2014"/>
    <n v="218746"/>
    <s v="218.746"/>
    <s v="3–4 min"/>
    <n v="0"/>
    <s v="Muy baja"/>
    <b v="0"/>
    <d v="2026-07-24T09:20:19"/>
    <n v="2026"/>
  </r>
  <r>
    <s v="Likes y Cicatrices"/>
    <s v="Melendi"/>
    <x v="0"/>
    <s v="Likes y Cicatrices"/>
    <s v="2021-11-05"/>
    <n v="2021"/>
    <n v="222706"/>
    <s v="222.706"/>
    <s v="3–4 min"/>
    <n v="45"/>
    <s v="Media"/>
    <b v="0"/>
    <d v="2026-07-24T09:20:19"/>
    <n v="2026"/>
  </r>
  <r>
    <s v="Como una vela"/>
    <s v="Melendi"/>
    <x v="0"/>
    <s v="Aún Más Curiosa La Cara De Tu Padre"/>
    <s v="2009-03-24"/>
    <n v="2009"/>
    <n v="220906"/>
    <s v="220.906"/>
    <s v="3–4 min"/>
    <n v="43"/>
    <s v="Media"/>
    <b v="0"/>
    <d v="2026-07-24T09:20:19"/>
    <n v="2026"/>
  </r>
  <r>
    <s v="Al Otro Lado del Pacífico"/>
    <s v="Melendi"/>
    <x v="0"/>
    <s v="Likes y Cicatrices"/>
    <s v="2021-11-05"/>
    <n v="2021"/>
    <n v="258600"/>
    <s v="258.6"/>
    <s v="4–5 min"/>
    <n v="44"/>
    <s v="Media"/>
    <b v="0"/>
    <d v="2026-07-24T09:20:19"/>
    <n v="2026"/>
  </r>
  <r>
    <s v="Somos"/>
    <s v="Melendi"/>
    <x v="0"/>
    <s v="Volvamos a empezar (Deluxe edition)"/>
    <s v="2010-10-29"/>
    <n v="2010"/>
    <n v="225760"/>
    <s v="225.76"/>
    <s v="3–4 min"/>
    <n v="33"/>
    <s v="Baja"/>
    <b v="0"/>
    <d v="2026-07-24T09:20:19"/>
    <n v="2026"/>
  </r>
  <r>
    <s v="Como el Agua y el Aceite"/>
    <s v="Melendi"/>
    <x v="0"/>
    <s v="Ahora"/>
    <s v="2018-03-09"/>
    <n v="2018"/>
    <n v="322866"/>
    <s v="322.866"/>
    <s v="Más de 5 min"/>
    <n v="37"/>
    <s v="Baja"/>
    <b v="0"/>
    <d v="2026-07-24T09:20:19"/>
    <n v="2026"/>
  </r>
  <r>
    <s v="Loco"/>
    <s v="Melendi"/>
    <x v="0"/>
    <s v="Mientras No Cueste Trabajo"/>
    <s v="2006-11-13"/>
    <n v="2006"/>
    <n v="211960"/>
    <s v="211.96"/>
    <s v="3–4 min"/>
    <n v="57"/>
    <s v="Media"/>
    <b v="0"/>
    <d v="2026-07-24T09:20:19"/>
    <n v="2026"/>
  </r>
  <r>
    <s v="Síndrome de Estocolmo"/>
    <s v="Melendi"/>
    <x v="0"/>
    <s v="10:20:40"/>
    <s v="2019-11-29"/>
    <n v="2019"/>
    <n v="276253"/>
    <s v="276.253"/>
    <s v="4–5 min"/>
    <n v="46"/>
    <s v="Media"/>
    <b v="0"/>
    <d v="2026-07-24T09:20:19"/>
    <n v="2026"/>
  </r>
  <r>
    <s v="Llueve"/>
    <s v="Melendi"/>
    <x v="0"/>
    <s v="Volvamos a empezar (Deluxe edition)"/>
    <s v="2010-10-29"/>
    <n v="2010"/>
    <n v="239946"/>
    <s v="239.946"/>
    <s v="3–4 min"/>
    <n v="49"/>
    <s v="Media"/>
    <b v="0"/>
    <d v="2026-07-24T09:20:19"/>
    <n v="2026"/>
  </r>
  <r>
    <s v="Quiero Ser Feliz"/>
    <s v="Melendi"/>
    <x v="0"/>
    <s v="Mientras No Cueste Más Trabajo"/>
    <s v="2007-09-28"/>
    <n v="2007"/>
    <n v="219280"/>
    <s v="219.28"/>
    <s v="3–4 min"/>
    <n v="40"/>
    <s v="Baja"/>
    <b v="0"/>
    <d v="2026-07-24T09:20:19"/>
    <n v="2026"/>
  </r>
  <r>
    <s v="Ni Error Ni Tontería"/>
    <s v="Melendi"/>
    <x v="0"/>
    <s v="10:20:40"/>
    <s v="2019-11-29"/>
    <n v="2019"/>
    <n v="182773"/>
    <s v="182.773"/>
    <s v="3–4 min"/>
    <n v="44"/>
    <s v="Media"/>
    <b v="0"/>
    <d v="2026-07-24T09:20:19"/>
    <n v="2026"/>
  </r>
  <r>
    <s v="Más allá de nuestros recuerdos"/>
    <s v="Melendi"/>
    <x v="0"/>
    <s v="Yo me veo contigo"/>
    <s v="2017-12-08"/>
    <n v="2017"/>
    <n v="222423"/>
    <s v="222.423"/>
    <s v="3–4 min"/>
    <n v="50"/>
    <s v="Media"/>
    <b v="0"/>
    <d v="2026-07-24T09:20:19"/>
    <n v="2026"/>
  </r>
  <r>
    <s v="El Nano"/>
    <s v="Melendi"/>
    <x v="0"/>
    <s v="El Nano"/>
    <s v="2008-02-29"/>
    <n v="2008"/>
    <n v="169160"/>
    <s v="169.16"/>
    <s v="2–3 min"/>
    <n v="51"/>
    <s v="Media"/>
    <b v="0"/>
    <d v="2026-07-24T09:20:19"/>
    <n v="2026"/>
  </r>
  <r>
    <s v="De bar en peor"/>
    <s v="Melendi"/>
    <x v="0"/>
    <s v="Mientras No Cueste Más Trabajo"/>
    <s v="2007-09-28"/>
    <n v="2007"/>
    <n v="208786"/>
    <s v="208.786"/>
    <s v="3–4 min"/>
    <n v="45"/>
    <s v="Media"/>
    <b v="0"/>
    <d v="2026-07-24T09:20:19"/>
    <n v="2026"/>
  </r>
  <r>
    <s v="Violeta"/>
    <s v="Melendi"/>
    <x v="0"/>
    <s v="Likes y Cicatrices"/>
    <s v="2021-11-05"/>
    <n v="2021"/>
    <n v="212186"/>
    <s v="212.186"/>
    <s v="3–4 min"/>
    <n v="44"/>
    <s v="Media"/>
    <b v="0"/>
    <d v="2026-07-24T09:20:19"/>
    <n v="2026"/>
  </r>
  <r>
    <s v="Corazón de peón"/>
    <s v="Melendi"/>
    <x v="0"/>
    <s v="Volvamos a empezar (Deluxe edition)"/>
    <s v="2010-10-29"/>
    <n v="2010"/>
    <n v="233426"/>
    <s v="233.426"/>
    <s v="3–4 min"/>
    <n v="35"/>
    <s v="Baja"/>
    <b v="0"/>
    <d v="2026-07-24T09:20:19"/>
    <n v="2026"/>
  </r>
  <r>
    <s v="La aceituna"/>
    <s v="Melendi"/>
    <x v="0"/>
    <s v="Yo me veo contigo"/>
    <s v="2017-12-08"/>
    <n v="2017"/>
    <n v="238786"/>
    <s v="238.786"/>
    <s v="3–4 min"/>
    <n v="23"/>
    <s v="Baja"/>
    <b v="0"/>
    <d v="2026-07-24T09:20:19"/>
    <n v="2026"/>
  </r>
  <r>
    <s v="El parto"/>
    <s v="Melendi"/>
    <x v="0"/>
    <s v="Volvamos a empezar (Deluxe edition)"/>
    <s v="2010-10-29"/>
    <n v="2010"/>
    <n v="224186"/>
    <s v="224.186"/>
    <s v="3–4 min"/>
    <n v="47"/>
    <s v="Media"/>
    <b v="0"/>
    <d v="2026-07-24T09:20:19"/>
    <n v="2026"/>
  </r>
  <r>
    <s v="Vuelvo a Traficar"/>
    <s v="Melendi"/>
    <x v="0"/>
    <s v="20 Años Sin Noticias"/>
    <s v="2023-11-10"/>
    <n v="2023"/>
    <n v="223524"/>
    <s v="223.524"/>
    <s v="3–4 min"/>
    <n v="36"/>
    <s v="Baja"/>
    <b v="0"/>
    <d v="2026-07-24T09:20:19"/>
    <n v="2026"/>
  </r>
  <r>
    <s v="Una Historia de Tantas"/>
    <s v="Melendi"/>
    <x v="0"/>
    <s v="20 Años Sin Noticias"/>
    <s v="2023-11-10"/>
    <n v="2023"/>
    <n v="223872"/>
    <s v="223.872"/>
    <s v="3–4 min"/>
    <n v="34"/>
    <s v="Baja"/>
    <b v="0"/>
    <d v="2026-07-24T09:20:19"/>
    <n v="2026"/>
  </r>
  <r>
    <s v="Contando Primaveras - 2006 Remastered Version"/>
    <s v="Melendi"/>
    <x v="0"/>
    <s v="Sin Noticias De Holanda"/>
    <s v="2006-07-14"/>
    <n v="2006"/>
    <n v="191600"/>
    <s v="191.6"/>
    <s v="3–4 min"/>
    <n v="39"/>
    <s v="Baja"/>
    <b v="0"/>
    <d v="2026-07-24T09:20:19"/>
    <n v="2026"/>
  </r>
  <r>
    <s v="Arriba Extremoduro"/>
    <s v="Melendi"/>
    <x v="0"/>
    <s v="Mientras No Cueste Trabajo"/>
    <s v="2006-11-13"/>
    <n v="2006"/>
    <n v="191240"/>
    <s v="191.24"/>
    <s v="3–4 min"/>
    <n v="57"/>
    <s v="Media"/>
    <b v="0"/>
    <d v="2026-07-24T09:20:19"/>
    <n v="2026"/>
  </r>
  <r>
    <s v="Curiosa la cara de tu padre"/>
    <s v="Melendi"/>
    <x v="0"/>
    <s v="Aún Más Curiosa La Cara De Tu Padre"/>
    <s v="2009-03-24"/>
    <n v="2009"/>
    <n v="211760"/>
    <s v="211.76"/>
    <s v="3–4 min"/>
    <n v="40"/>
    <s v="Baja"/>
    <b v="0"/>
    <d v="2026-07-24T09:20:19"/>
    <n v="2026"/>
  </r>
  <r>
    <s v="Como Se Bailan Los Tangos"/>
    <s v="Melendi"/>
    <x v="0"/>
    <s v="Que El Cielo Espere Sentao.."/>
    <s v="2005"/>
    <n v="2005"/>
    <n v="188786"/>
    <s v="188.786"/>
    <s v="3–4 min"/>
    <n v="41"/>
    <s v="Media"/>
    <b v="0"/>
    <d v="2026-07-24T09:20:19"/>
    <n v="2026"/>
  </r>
  <r>
    <s v="Por Que tu No Eres Un Coche"/>
    <s v="Melendi"/>
    <x v="0"/>
    <s v="Mientras No Cueste Más Trabajo"/>
    <s v="2007-09-28"/>
    <n v="2007"/>
    <n v="221026"/>
    <s v="221.026"/>
    <s v="3–4 min"/>
    <n v="28"/>
    <s v="Baja"/>
    <b v="0"/>
    <d v="2026-07-24T09:20:19"/>
    <n v="2026"/>
  </r>
  <r>
    <s v="Piratas del bar Caribe"/>
    <s v="Melendi"/>
    <x v="0"/>
    <s v="Aún Más Curiosa La Cara De Tu Padre"/>
    <s v="2009-03-24"/>
    <n v="2009"/>
    <n v="244720"/>
    <s v="244.72"/>
    <s v="4–5 min"/>
    <n v="39"/>
    <s v="Baja"/>
    <b v="0"/>
    <d v="2026-07-24T09:20:19"/>
    <n v="2026"/>
  </r>
  <r>
    <s v="Los Premios Pinocho"/>
    <s v="Melendi"/>
    <x v="0"/>
    <s v="Aún Más Curiosa La Cara De Tu Padre"/>
    <s v="2009-03-24"/>
    <n v="2009"/>
    <n v="227920"/>
    <s v="227.92"/>
    <s v="3–4 min"/>
    <n v="31"/>
    <s v="Baja"/>
    <b v="0"/>
    <d v="2026-07-24T09:20:19"/>
    <n v="2026"/>
  </r>
  <r>
    <s v="Volvamos a empezar"/>
    <s v="Melendi"/>
    <x v="0"/>
    <s v="Volvamos a empezar (Deluxe edition)"/>
    <s v="2010-10-29"/>
    <n v="2010"/>
    <n v="235573"/>
    <s v="235.573"/>
    <s v="3–4 min"/>
    <n v="36"/>
    <s v="Baja"/>
    <b v="0"/>
    <d v="2026-07-24T09:20:19"/>
    <n v="2026"/>
  </r>
  <r>
    <s v="Perdóname ángel"/>
    <s v="Melendi"/>
    <x v="0"/>
    <s v="Yo me veo contigo"/>
    <s v="2017-12-08"/>
    <n v="2017"/>
    <n v="248720"/>
    <s v="248.72"/>
    <s v="4–5 min"/>
    <n v="24"/>
    <s v="Baja"/>
    <b v="0"/>
    <d v="2026-07-24T09:20:19"/>
    <n v="2026"/>
  </r>
  <r>
    <s v="Aprendiz de caballero"/>
    <s v="Melendi"/>
    <x v="0"/>
    <s v="Yo me veo contigo"/>
    <s v="2017-12-08"/>
    <n v="2017"/>
    <n v="243600"/>
    <s v="243.6"/>
    <s v="4–5 min"/>
    <n v="27"/>
    <s v="Baja"/>
    <b v="0"/>
    <d v="2026-07-24T09:20:19"/>
    <n v="2026"/>
  </r>
  <r>
    <s v="Firmes - Remastered"/>
    <s v="Melendi"/>
    <x v="0"/>
    <s v="Yo me veo contigo"/>
    <s v="2017-12-08"/>
    <n v="2017"/>
    <n v="232666"/>
    <s v="232.666"/>
    <s v="3–4 min"/>
    <n v="19"/>
    <s v="Muy baja"/>
    <b v="0"/>
    <d v="2026-07-24T09:20:19"/>
    <n v="2026"/>
  </r>
  <r>
    <s v="Zoociedad"/>
    <s v="Melendi"/>
    <x v="0"/>
    <s v="Mientras No Cueste Más Trabajo"/>
    <s v="2007-09-28"/>
    <n v="2007"/>
    <n v="177600"/>
    <s v="177.6"/>
    <s v="2–3 min"/>
    <n v="37"/>
    <s v="Baja"/>
    <b v="0"/>
    <d v="2026-07-24T09:20:19"/>
    <n v="2026"/>
  </r>
  <r>
    <s v="Vampiresa"/>
    <s v="Melendi"/>
    <x v="0"/>
    <s v="Aún Más Curiosa La Cara De Tu Padre"/>
    <s v="2009-03-24"/>
    <n v="2009"/>
    <n v="205720"/>
    <s v="205.72"/>
    <s v="3–4 min"/>
    <n v="40"/>
    <s v="Baja"/>
    <b v="0"/>
    <d v="2026-07-24T09:20:19"/>
    <n v="2026"/>
  </r>
  <r>
    <s v="Cannabis"/>
    <s v="Melendi"/>
    <x v="0"/>
    <s v="Que El Cielo Espere Sentao.."/>
    <s v="2005"/>
    <n v="2005"/>
    <n v="190346"/>
    <s v="190.346"/>
    <s v="3–4 min"/>
    <n v="39"/>
    <s v="Baja"/>
    <b v="0"/>
    <d v="2026-07-24T09:20:19"/>
    <n v="2026"/>
  </r>
  <r>
    <s v="Moratalá - 2006 Remastered Version"/>
    <s v="Melendi"/>
    <x v="0"/>
    <s v="Sin Noticias De Holanda"/>
    <s v="2006-07-14"/>
    <n v="2006"/>
    <n v="258466"/>
    <s v="258.466"/>
    <s v="4–5 min"/>
    <n v="41"/>
    <s v="Media"/>
    <b v="0"/>
    <d v="2026-07-24T09:20:19"/>
    <n v="2026"/>
  </r>
  <r>
    <s v="Gangs Of London"/>
    <s v="Melendi"/>
    <x v="0"/>
    <s v="Yo me veo contigo"/>
    <s v="2017-12-08"/>
    <n v="2017"/>
    <n v="187586"/>
    <s v="187.586"/>
    <s v="3–4 min"/>
    <n v="26"/>
    <s v="Baja"/>
    <b v="0"/>
    <d v="2026-07-24T09:20:19"/>
    <n v="2026"/>
  </r>
  <r>
    <s v="Hijos del Mal"/>
    <s v="Melendi"/>
    <x v="0"/>
    <s v="Quítate las Gafas"/>
    <s v="2016-11-11"/>
    <n v="2016"/>
    <n v="243133"/>
    <s v="243.133"/>
    <s v="4–5 min"/>
    <n v="37"/>
    <s v="Baja"/>
    <b v="0"/>
    <d v="2026-07-24T09:20:19"/>
    <n v="2026"/>
  </r>
  <r>
    <s v="Flores de Agua y Plomo"/>
    <s v="Melendi"/>
    <x v="0"/>
    <s v="Quítate las Gafas"/>
    <s v="2016-11-11"/>
    <n v="2016"/>
    <n v="251240"/>
    <s v="251.24"/>
    <s v="4–5 min"/>
    <n v="36"/>
    <s v="Baja"/>
    <b v="0"/>
    <d v="2026-07-24T09:20:19"/>
    <n v="2026"/>
  </r>
  <r>
    <s v="El tiempo que gasto"/>
    <s v="Melendi"/>
    <x v="0"/>
    <s v="Yo me veo contigo"/>
    <s v="2017-12-08"/>
    <n v="2017"/>
    <n v="223693"/>
    <s v="223.693"/>
    <s v="3–4 min"/>
    <n v="24"/>
    <s v="Baja"/>
    <b v="0"/>
    <d v="2026-07-24T09:20:19"/>
    <n v="2026"/>
  </r>
  <r>
    <s v="El rey de la baraja"/>
    <s v="Melendi"/>
    <x v="0"/>
    <s v="Yo me veo contigo"/>
    <s v="2017-12-08"/>
    <n v="2017"/>
    <n v="178600"/>
    <s v="178.6"/>
    <s v="2–3 min"/>
    <n v="23"/>
    <s v="Baja"/>
    <b v="0"/>
    <d v="2026-07-24T09:20:19"/>
    <n v="2026"/>
  </r>
  <r>
    <s v="Ni pa la pipa la sal"/>
    <s v="Melendi"/>
    <x v="0"/>
    <s v="Yo me veo contigo"/>
    <s v="2017-12-08"/>
    <n v="2017"/>
    <n v="172400"/>
    <s v="172.4"/>
    <s v="2–3 min"/>
    <n v="20"/>
    <s v="Muy baja"/>
    <b v="0"/>
    <d v="2026-07-24T09:20:19"/>
    <n v="2026"/>
  </r>
  <r>
    <s v="Como Dijo El Rey"/>
    <s v="Melendi"/>
    <x v="0"/>
    <s v="Que El Cielo Espere Sentao.."/>
    <s v="2005"/>
    <n v="2005"/>
    <n v="233133"/>
    <s v="233.133"/>
    <s v="3–4 min"/>
    <n v="43"/>
    <s v="Media"/>
    <b v="0"/>
    <d v="2026-07-24T09:20:19"/>
    <n v="2026"/>
  </r>
  <r>
    <s v="Con Tanto Héroe"/>
    <s v="Melendi"/>
    <x v="0"/>
    <s v="Que El Cielo Espere Sentao.."/>
    <s v="2005"/>
    <n v="2005"/>
    <n v="163573"/>
    <s v="163.573"/>
    <s v="2–3 min"/>
    <n v="40"/>
    <s v="Baja"/>
    <b v="0"/>
    <d v="2026-07-24T09:20:19"/>
    <n v="2026"/>
  </r>
  <r>
    <s v="Cuestión de Prioridades"/>
    <s v="Melendi"/>
    <x v="0"/>
    <s v="Que El Cielo Espere Sentao.."/>
    <s v="2005"/>
    <n v="2005"/>
    <n v="234666"/>
    <s v="234.666"/>
    <s v="3–4 min"/>
    <n v="42"/>
    <s v="Media"/>
    <b v="0"/>
    <d v="2026-07-24T09:20:19"/>
    <n v="2026"/>
  </r>
  <r>
    <s v="Que el cielo espere sentao"/>
    <s v="Melendi"/>
    <x v="0"/>
    <s v="Que El Cielo Espere Sentao.."/>
    <s v="2005"/>
    <n v="2005"/>
    <n v="202066"/>
    <s v="202.066"/>
    <s v="3–4 min"/>
    <n v="39"/>
    <s v="Baja"/>
    <b v="0"/>
    <d v="2026-07-24T09:20:19"/>
    <n v="2026"/>
  </r>
  <r>
    <s v="Entre la ropa sucia de Cupido"/>
    <s v="Melendi"/>
    <x v="0"/>
    <s v="Volvamos a empezar (Deluxe edition)"/>
    <s v="2010-10-29"/>
    <n v="2010"/>
    <n v="258266"/>
    <s v="258.266"/>
    <s v="4–5 min"/>
    <n v="42"/>
    <s v="Media"/>
    <b v="0"/>
    <d v="2026-07-24T09:20:19"/>
    <n v="2026"/>
  </r>
  <r>
    <s v="De repente desperté"/>
    <s v="Melendi"/>
    <x v="0"/>
    <s v="Lágrimas desordenadas"/>
    <s v="2012-11-13"/>
    <n v="2012"/>
    <n v="309773"/>
    <s v="309.773"/>
    <s v="Más de 5 min"/>
    <n v="46"/>
    <s v="Media"/>
    <b v="0"/>
    <d v="2026-07-24T09:20:19"/>
    <n v="2026"/>
  </r>
  <r>
    <s v="Una Historia De Dos"/>
    <s v="Melendi"/>
    <x v="0"/>
    <s v="Aún Más Curiosa La Cara De Tu Padre"/>
    <s v="2009-03-24"/>
    <n v="2009"/>
    <n v="288626"/>
    <s v="288.626"/>
    <s v="4–5 min"/>
    <n v="35"/>
    <s v="Baja"/>
    <b v="0"/>
    <d v="2026-07-24T09:20:19"/>
    <n v="2026"/>
  </r>
  <r>
    <s v="La Mi Mozuca"/>
    <s v="Melendi"/>
    <x v="0"/>
    <s v="Curiosa La Cara De Tu Padre"/>
    <s v="2008-09-16"/>
    <n v="2008"/>
    <n v="249746"/>
    <s v="249.746"/>
    <s v="4–5 min"/>
    <n v="42"/>
    <s v="Media"/>
    <b v="0"/>
    <d v="2026-07-24T09:20:19"/>
    <n v="2026"/>
  </r>
  <r>
    <s v="Veneno y Arena"/>
    <s v="Melendi"/>
    <x v="0"/>
    <s v="Pop Rock"/>
    <s v="2026-05-08"/>
    <n v="2026"/>
    <n v="217120"/>
    <s v="217.12"/>
    <s v="3–4 min"/>
    <n v="59"/>
    <s v="Media"/>
    <b v="0"/>
    <d v="2026-07-24T09:20:19"/>
    <n v="2026"/>
  </r>
  <r>
    <s v="Fecha de Caducidad"/>
    <s v="Melendi"/>
    <x v="0"/>
    <s v="Pop Rock"/>
    <s v="2026-05-08"/>
    <n v="2026"/>
    <n v="305466"/>
    <s v="305.466"/>
    <s v="Más de 5 min"/>
    <n v="55"/>
    <s v="Media"/>
    <b v="0"/>
    <d v="2026-07-24T09:20:19"/>
    <n v="2026"/>
  </r>
  <r>
    <s v="La Única Puerta Abierta"/>
    <s v="Melendi"/>
    <x v="0"/>
    <s v="Pop Rock"/>
    <s v="2026-05-08"/>
    <n v="2026"/>
    <n v="231210"/>
    <s v="231.21"/>
    <s v="3–4 min"/>
    <n v="56"/>
    <s v="Media"/>
    <b v="0"/>
    <d v="2026-07-24T09:20:19"/>
    <n v="2026"/>
  </r>
  <r>
    <s v="Llegar A Viejos"/>
    <s v="Melendi"/>
    <x v="0"/>
    <s v="Pop Rock"/>
    <s v="2026-05-08"/>
    <n v="2026"/>
    <n v="245173"/>
    <s v="245.173"/>
    <s v="4–5 min"/>
    <n v="56"/>
    <s v="Media"/>
    <b v="0"/>
    <d v="2026-07-24T09:20:19"/>
    <n v="2026"/>
  </r>
  <r>
    <s v="Mentiras Arriesgadas"/>
    <s v="Melendi"/>
    <x v="0"/>
    <s v="Pop Rock"/>
    <s v="2026-05-08"/>
    <n v="2026"/>
    <n v="212960"/>
    <s v="212.96"/>
    <s v="3–4 min"/>
    <n v="55"/>
    <s v="Media"/>
    <b v="0"/>
    <d v="2026-07-24T09:20:19"/>
    <n v="2026"/>
  </r>
  <r>
    <s v="El Peor De Tus Exnovios"/>
    <s v="Melendi"/>
    <x v="0"/>
    <s v="Pop Rock"/>
    <s v="2026-05-08"/>
    <n v="2026"/>
    <n v="249994"/>
    <s v="249.994"/>
    <s v="4–5 min"/>
    <n v="54"/>
    <s v="Media"/>
    <b v="0"/>
    <d v="2026-07-24T09:20:19"/>
    <n v="2026"/>
  </r>
  <r>
    <s v="Yo A Boston Y Tú a Tijuana"/>
    <s v="Melendi"/>
    <x v="0"/>
    <s v="Pop Rock"/>
    <s v="2026-05-08"/>
    <n v="2026"/>
    <n v="255808"/>
    <s v="255.808"/>
    <s v="4–5 min"/>
    <n v="54"/>
    <s v="Media"/>
    <b v="0"/>
    <d v="2026-07-24T09:20:19"/>
    <n v="2026"/>
  </r>
  <r>
    <s v="Se Fue Con el Guitarrista"/>
    <s v="Melendi"/>
    <x v="0"/>
    <s v="Pop Rock"/>
    <s v="2026-05-08"/>
    <n v="2026"/>
    <n v="236842"/>
    <s v="236.842"/>
    <s v="3–4 min"/>
    <n v="51"/>
    <s v="Media"/>
    <b v="0"/>
    <d v="2026-07-24T09:20:19"/>
    <n v="2026"/>
  </r>
  <r>
    <s v="No Me Des la Tabarra"/>
    <s v="Melendi"/>
    <x v="0"/>
    <s v="Pop Rock"/>
    <s v="2026-05-08"/>
    <n v="2026"/>
    <n v="245378"/>
    <s v="245.378"/>
    <s v="4–5 min"/>
    <n v="52"/>
    <s v="Media"/>
    <b v="0"/>
    <d v="2026-07-24T09:20:19"/>
    <n v="2026"/>
  </r>
  <r>
    <s v="Lo Que Yo Obedezco"/>
    <s v="Melendi"/>
    <x v="0"/>
    <s v="Pop Rock"/>
    <s v="2026-05-08"/>
    <n v="2026"/>
    <n v="286613"/>
    <s v="286.613"/>
    <s v="4–5 min"/>
    <n v="51"/>
    <s v="Media"/>
    <b v="0"/>
    <d v="2026-07-24T09:20:19"/>
    <n v="2026"/>
  </r>
  <r>
    <s v="Nunca Te Dejaré Solo"/>
    <s v="Melendi"/>
    <x v="0"/>
    <s v="Pop Rock"/>
    <s v="2026-05-08"/>
    <n v="2026"/>
    <n v="283424"/>
    <s v="283.424"/>
    <s v="4–5 min"/>
    <n v="50"/>
    <s v="Media"/>
    <b v="0"/>
    <d v="2026-07-24T09:20:19"/>
    <n v="2026"/>
  </r>
  <r>
    <s v="El gordo y el narco"/>
    <s v="Melendi"/>
    <x v="0"/>
    <s v="Un alumno más"/>
    <s v="2014-11-25"/>
    <n v="2014"/>
    <n v="205066"/>
    <s v="205.066"/>
    <s v="3–4 min"/>
    <n v="40"/>
    <s v="Baja"/>
    <b v="0"/>
    <d v="2026-07-24T09:20:19"/>
    <n v="2026"/>
  </r>
  <r>
    <s v="Mi generación"/>
    <s v="Melendi"/>
    <x v="0"/>
    <s v="Yo me veo contigo"/>
    <s v="2017-12-08"/>
    <n v="2017"/>
    <n v="184549"/>
    <s v="184.549"/>
    <s v="3–4 min"/>
    <n v="21"/>
    <s v="Baja"/>
    <b v="0"/>
    <d v="2026-07-24T09:20:19"/>
    <n v="2026"/>
  </r>
  <r>
    <s v="Hoy"/>
    <s v="Melendi"/>
    <x v="0"/>
    <s v="Yo me veo contigo"/>
    <s v="2017-12-08"/>
    <n v="2017"/>
    <n v="257786"/>
    <s v="257.786"/>
    <s v="4–5 min"/>
    <n v="20"/>
    <s v="Muy baja"/>
    <b v="0"/>
    <d v="2026-07-24T09:20:19"/>
    <n v="2026"/>
  </r>
  <r>
    <s v="Un alumno más - En Directo"/>
    <s v="Melendi"/>
    <x v="0"/>
    <s v="Directo a Septiembre (Gira Un Alumno Más)"/>
    <s v="2015-12-04"/>
    <n v="2015"/>
    <n v="329146"/>
    <s v="329.146"/>
    <s v="Más de 5 min"/>
    <n v="38"/>
    <s v="Baja"/>
    <b v="0"/>
    <d v="2026-07-24T09:20:19"/>
    <n v="2026"/>
  </r>
  <r>
    <s v="Amigos de la crisis"/>
    <s v="Melendi"/>
    <x v="0"/>
    <s v="Yo me veo contigo"/>
    <s v="2017-12-08"/>
    <n v="2017"/>
    <n v="228253"/>
    <s v="228.253"/>
    <s v="3–4 min"/>
    <n v="19"/>
    <s v="Muy baja"/>
    <b v="0"/>
    <d v="2026-07-24T09:20:19"/>
    <n v="2026"/>
  </r>
  <r>
    <s v="Tu lista de enemigos"/>
    <s v="Melendi"/>
    <x v="0"/>
    <s v="Lágrimas desordenadas (Deluxe)"/>
    <s v="2012-11-13"/>
    <n v="2012"/>
    <n v="241503"/>
    <s v="241.503"/>
    <s v="4–5 min"/>
    <n v="12"/>
    <s v="Muy baja"/>
    <b v="0"/>
    <d v="2026-07-24T09:20:19"/>
    <n v="2026"/>
  </r>
  <r>
    <s v="Gatos celestes"/>
    <s v="Melendi"/>
    <x v="0"/>
    <s v="Lágrimas desordenadas (Deluxe)"/>
    <s v="2012-11-13"/>
    <n v="2012"/>
    <n v="226369"/>
    <s v="226.369"/>
    <s v="3–4 min"/>
    <n v="11"/>
    <s v="Muy baja"/>
    <b v="0"/>
    <d v="2026-07-24T09:20:19"/>
    <n v="2026"/>
  </r>
  <r>
    <s v="Melancolemia"/>
    <s v="Melendi"/>
    <x v="0"/>
    <s v="Volvamos a empezar (Deluxe edition)"/>
    <s v="2010-10-29"/>
    <n v="2010"/>
    <n v="252800"/>
    <s v="252.8"/>
    <s v="4–5 min"/>
    <n v="36"/>
    <s v="Baja"/>
    <b v="0"/>
    <d v="2026-07-24T09:20:19"/>
    <n v="2026"/>
  </r>
  <r>
    <s v="Maldita Vida Loca"/>
    <s v="Melendi"/>
    <x v="0"/>
    <s v="Aún Más Curiosa La Cara De Tu Padre"/>
    <s v="2009-03-24"/>
    <n v="2009"/>
    <n v="228813"/>
    <s v="228.813"/>
    <s v="3–4 min"/>
    <n v="27"/>
    <s v="Baja"/>
    <b v="0"/>
    <d v="2026-07-24T09:20:19"/>
    <n v="2026"/>
  </r>
  <r>
    <s v="Las Cosas Del Amor"/>
    <s v="Melendi"/>
    <x v="0"/>
    <s v="Curiosa La Cara De Tu Padre"/>
    <s v="2008-09-16"/>
    <n v="2008"/>
    <n v="204440"/>
    <s v="204.44"/>
    <s v="3–4 min"/>
    <n v="33"/>
    <s v="Baja"/>
    <b v="0"/>
    <d v="2026-07-24T09:20:19"/>
    <n v="2026"/>
  </r>
  <r>
    <s v="Eres mía"/>
    <s v="Alejandro Sanz"/>
    <x v="1"/>
    <s v="Alejandro Sanz 3"/>
    <s v="1995-09-26"/>
    <n v="1995"/>
    <n v="327893"/>
    <s v="327.893"/>
    <s v="Más de 5 min"/>
    <n v="56"/>
    <s v="Media"/>
    <b v="0"/>
    <d v="2026-07-24T09:20:19"/>
    <n v="2026"/>
  </r>
  <r>
    <s v="Toca para mí"/>
    <s v="Alejandro Sanz"/>
    <x v="1"/>
    <s v="Viviendo deprisa"/>
    <s v="1991-08-20"/>
    <n v="1991"/>
    <n v="249066"/>
    <s v="249.066"/>
    <s v="4–5 min"/>
    <n v="37"/>
    <s v="Baja"/>
    <b v="0"/>
    <d v="2026-07-24T09:20:19"/>
    <n v="2026"/>
  </r>
  <r>
    <s v="Quiero morir en tu veneno"/>
    <s v="Alejandro Sanz"/>
    <x v="1"/>
    <s v="Alejandro Sanz 3"/>
    <s v="1995-09-26"/>
    <n v="1995"/>
    <n v="242973"/>
    <s v="242.973"/>
    <s v="4–5 min"/>
    <n v="60"/>
    <s v="Media"/>
    <b v="0"/>
    <d v="2026-07-24T09:20:19"/>
    <n v="2026"/>
  </r>
  <r>
    <s v="El escaparate"/>
    <s v="Alejandro Sanz"/>
    <x v="1"/>
    <s v="Si Tu Me Miras"/>
    <s v="1993-05-14"/>
    <n v="1993"/>
    <n v="288200"/>
    <s v="288.2"/>
    <s v="4–5 min"/>
    <n v="44"/>
    <s v="Media"/>
    <b v="0"/>
    <d v="2026-07-24T09:20:19"/>
    <n v="2026"/>
  </r>
  <r>
    <s v="Es este amor"/>
    <s v="Alejandro Sanz"/>
    <x v="1"/>
    <s v="Viviendo deprisa"/>
    <s v="1991-08-20"/>
    <n v="1991"/>
    <n v="212906"/>
    <s v="212.906"/>
    <s v="3–4 min"/>
    <n v="32"/>
    <s v="Baja"/>
    <b v="0"/>
    <d v="2026-07-24T09:20:19"/>
    <n v="2026"/>
  </r>
  <r>
    <s v="Llega, llegó soledad"/>
    <s v="Alejandro Sanz"/>
    <x v="1"/>
    <s v="El alma al aire: 20 Aniversario"/>
    <s v="2000-09-26"/>
    <n v="2000"/>
    <n v="277306"/>
    <s v="277.306"/>
    <s v="4–5 min"/>
    <n v="22"/>
    <s v="Baja"/>
    <b v="0"/>
    <d v="2026-07-24T09:20:19"/>
    <n v="2026"/>
  </r>
  <r>
    <s v="No Me Compares"/>
    <s v="Alejandro Sanz"/>
    <x v="1"/>
    <s v="La Música No Se Toca (Deluxe)"/>
    <s v="2012-01-01"/>
    <n v="2012"/>
    <n v="278440"/>
    <s v="278.44"/>
    <s v="4–5 min"/>
    <n v="66"/>
    <s v="Alta"/>
    <b v="0"/>
    <d v="2026-07-24T09:20:19"/>
    <n v="2026"/>
  </r>
  <r>
    <s v="Cuando nadie me ve"/>
    <s v="Alejandro Sanz"/>
    <x v="1"/>
    <s v="Coleccion definitiva (Deluxe)"/>
    <s v="2011-11-11"/>
    <n v="2011"/>
    <n v="308560"/>
    <s v="308.56"/>
    <s v="Más de 5 min"/>
    <n v="55"/>
    <s v="Media"/>
    <b v="0"/>
    <d v="2026-07-24T09:20:19"/>
    <n v="2026"/>
  </r>
  <r>
    <s v="La fuerza del corazón"/>
    <s v="Alejandro Sanz"/>
    <x v="1"/>
    <s v="Coleccion definitiva"/>
    <s v="2011-11-11"/>
    <n v="2011"/>
    <n v="307053"/>
    <s v="307.053"/>
    <s v="Más de 5 min"/>
    <n v="41"/>
    <s v="Media"/>
    <b v="0"/>
    <d v="2026-07-24T09:20:19"/>
    <n v="2026"/>
  </r>
  <r>
    <s v="Mares De Miel"/>
    <s v="Alejandro Sanz"/>
    <x v="1"/>
    <s v="Mares De Miel"/>
    <s v="2021-10-14"/>
    <n v="2021"/>
    <n v="281764"/>
    <s v="281.764"/>
    <s v="4–5 min"/>
    <n v="36"/>
    <s v="Baja"/>
    <b v="0"/>
    <d v="2026-07-24T09:20:19"/>
    <n v="2026"/>
  </r>
  <r>
    <s v="Se le apagó la luz"/>
    <s v="Alejandro Sanz"/>
    <x v="1"/>
    <s v="MTV Unplugged"/>
    <s v="2001-11-19"/>
    <n v="2001"/>
    <n v="316426"/>
    <s v="316.426"/>
    <s v="Más de 5 min"/>
    <n v="50"/>
    <s v="Media"/>
    <b v="0"/>
    <d v="2026-07-24T09:20:19"/>
    <n v="2026"/>
  </r>
  <r>
    <s v="Lo que fui es lo que soy"/>
    <s v="Alejandro Sanz"/>
    <x v="1"/>
    <s v="Viviendo deprisa"/>
    <s v="1991-08-20"/>
    <n v="1991"/>
    <n v="281240"/>
    <s v="281.24"/>
    <s v="4–5 min"/>
    <n v="53"/>
    <s v="Media"/>
    <b v="0"/>
    <d v="2026-07-24T09:20:19"/>
    <n v="2026"/>
  </r>
  <r>
    <s v="Y Ya Te Quería"/>
    <s v="Alejandro Sanz"/>
    <x v="1"/>
    <s v="Sanz"/>
    <s v="2021-12-09"/>
    <n v="2021"/>
    <n v="245844"/>
    <s v="245.844"/>
    <s v="4–5 min"/>
    <n v="41"/>
    <s v="Media"/>
    <b v="0"/>
    <d v="2026-07-24T09:20:19"/>
    <n v="2026"/>
  </r>
  <r>
    <s v="Yo No Quiero Suerte"/>
    <s v="Alejandro Sanz"/>
    <x v="1"/>
    <s v="Sanz"/>
    <s v="2021-12-09"/>
    <n v="2021"/>
    <n v="264098"/>
    <s v="264.098"/>
    <s v="4–5 min"/>
    <n v="42"/>
    <s v="Media"/>
    <b v="0"/>
    <d v="2026-07-24T09:20:19"/>
    <n v="2026"/>
  </r>
  <r>
    <s v="La Música No Se Toca"/>
    <s v="Alejandro Sanz"/>
    <x v="1"/>
    <s v="La Música No Se Toca (Deluxe)"/>
    <s v="2012-01-01"/>
    <n v="2012"/>
    <n v="288640"/>
    <s v="288.64"/>
    <s v="4–5 min"/>
    <n v="46"/>
    <s v="Media"/>
    <b v="0"/>
    <d v="2026-07-24T09:20:19"/>
    <n v="2026"/>
  </r>
  <r>
    <s v="Camino De Rosas"/>
    <s v="Alejandro Sanz"/>
    <x v="1"/>
    <s v="La Música No Se Toca (Deluxe)"/>
    <s v="2012-01-01"/>
    <n v="2012"/>
    <n v="260573"/>
    <s v="260.573"/>
    <s v="4–5 min"/>
    <n v="61"/>
    <s v="Alta"/>
    <b v="0"/>
    <d v="2026-07-24T09:20:19"/>
    <n v="2026"/>
  </r>
  <r>
    <s v="Mi soledad y yo"/>
    <s v="Alejandro Sanz"/>
    <x v="1"/>
    <s v="Alejandro Sanz 3"/>
    <s v="1995-09-26"/>
    <n v="1995"/>
    <n v="299840"/>
    <s v="299.84"/>
    <s v="4–5 min"/>
    <n v="77"/>
    <s v="Alta"/>
    <b v="0"/>
    <d v="2026-07-24T09:20:19"/>
    <n v="2026"/>
  </r>
  <r>
    <s v="Quisiera ser"/>
    <s v="Alejandro Sanz"/>
    <x v="1"/>
    <s v="Coleccion definitiva (Deluxe)"/>
    <s v="2011-11-11"/>
    <n v="2011"/>
    <n v="328533"/>
    <s v="328.533"/>
    <s v="Más de 5 min"/>
    <n v="50"/>
    <s v="Media"/>
    <b v="0"/>
    <d v="2026-07-24T09:20:19"/>
    <n v="2026"/>
  </r>
  <r>
    <s v="Pisando fuerte"/>
    <s v="Alejandro Sanz"/>
    <x v="1"/>
    <s v="Viviendo deprisa"/>
    <s v="1991-08-20"/>
    <n v="1991"/>
    <n v="269813"/>
    <s v="269.813"/>
    <s v="4–5 min"/>
    <n v="70"/>
    <s v="Alta"/>
    <b v="0"/>
    <d v="2026-07-24T09:20:19"/>
    <n v="2026"/>
  </r>
  <r>
    <s v="Aquello que me diste"/>
    <s v="Alejandro Sanz"/>
    <x v="1"/>
    <s v="Más"/>
    <s v="1997"/>
    <n v="1997"/>
    <n v="285520"/>
    <s v="285.52"/>
    <s v="4–5 min"/>
    <n v="71"/>
    <s v="Alta"/>
    <b v="0"/>
    <d v="2026-07-24T09:20:19"/>
    <n v="2026"/>
  </r>
  <r>
    <s v="No es lo mismo"/>
    <s v="Alejandro Sanz"/>
    <x v="1"/>
    <s v="Coleccion definitiva (Deluxe)"/>
    <s v="2011-11-11"/>
    <n v="2011"/>
    <n v="359173"/>
    <s v="359.173"/>
    <s v="Más de 5 min"/>
    <n v="54"/>
    <s v="Media"/>
    <b v="0"/>
    <d v="2026-07-24T09:20:19"/>
    <n v="2026"/>
  </r>
  <r>
    <s v="Desde cuando"/>
    <s v="Alejandro Sanz"/>
    <x v="1"/>
    <s v="Coleccion definitiva (Deluxe)"/>
    <s v="2011-11-11"/>
    <n v="2011"/>
    <n v="235906"/>
    <s v="235.906"/>
    <s v="3–4 min"/>
    <n v="60"/>
    <s v="Media"/>
    <b v="0"/>
    <d v="2026-07-24T09:20:19"/>
    <n v="2026"/>
  </r>
  <r>
    <s v="Un Zombie A La Intemperie"/>
    <s v="Alejandro Sanz"/>
    <x v="1"/>
    <s v="Sirope"/>
    <s v="2015-05-04"/>
    <n v="2015"/>
    <n v="301115"/>
    <s v="301.115"/>
    <s v="Más de 5 min"/>
    <n v="44"/>
    <s v="Media"/>
    <b v="0"/>
    <d v="2026-07-24T09:20:19"/>
    <n v="2026"/>
  </r>
  <r>
    <s v="¿Lo ves?"/>
    <s v="Alejandro Sanz"/>
    <x v="1"/>
    <s v="Coleccion definitiva"/>
    <s v="2011-11-11"/>
    <n v="2011"/>
    <n v="229800"/>
    <s v="229.8"/>
    <s v="3–4 min"/>
    <n v="52"/>
    <s v="Media"/>
    <b v="0"/>
    <d v="2026-07-24T09:20:19"/>
    <n v="2026"/>
  </r>
  <r>
    <s v="Se me olvidó todo al verte"/>
    <s v="Alejandro Sanz"/>
    <x v="1"/>
    <s v="Alejandro Sanz 3"/>
    <s v="1995-09-26"/>
    <n v="1995"/>
    <n v="281666"/>
    <s v="281.666"/>
    <s v="4–5 min"/>
    <n v="55"/>
    <s v="Media"/>
    <b v="0"/>
    <d v="2026-07-24T09:20:19"/>
    <n v="2026"/>
  </r>
  <r>
    <s v="No Sé Qué Me Pasas"/>
    <s v="Alejandro Sanz"/>
    <x v="1"/>
    <s v="Sanz"/>
    <s v="2021-12-09"/>
    <n v="2021"/>
    <n v="228018"/>
    <s v="228.018"/>
    <s v="3–4 min"/>
    <n v="29"/>
    <s v="Baja"/>
    <b v="0"/>
    <d v="2026-07-24T09:20:19"/>
    <n v="2026"/>
  </r>
  <r>
    <s v="Iba"/>
    <s v="Alejandro Sanz"/>
    <x v="1"/>
    <s v="Sanz"/>
    <s v="2021-12-09"/>
    <n v="2021"/>
    <n v="219884"/>
    <s v="219.884"/>
    <s v="3–4 min"/>
    <n v="32"/>
    <s v="Baja"/>
    <b v="0"/>
    <d v="2026-07-24T09:20:19"/>
    <n v="2026"/>
  </r>
  <r>
    <s v="No Tengo Nada"/>
    <s v="Alejandro Sanz"/>
    <x v="1"/>
    <s v="#ELDISCO"/>
    <s v="2019-04-04"/>
    <n v="2019"/>
    <n v="225599"/>
    <s v="225.599"/>
    <s v="3–4 min"/>
    <n v="46"/>
    <s v="Media"/>
    <b v="0"/>
    <d v="2026-07-24T09:20:19"/>
    <n v="2026"/>
  </r>
  <r>
    <s v="Azúcar En Un Bowl"/>
    <s v="Alejandro Sanz"/>
    <x v="1"/>
    <s v="#ELDISCO"/>
    <s v="2019-04-04"/>
    <n v="2019"/>
    <n v="223303"/>
    <s v="223.303"/>
    <s v="3–4 min"/>
    <n v="29"/>
    <s v="Baja"/>
    <b v="0"/>
    <d v="2026-07-24T09:20:19"/>
    <n v="2026"/>
  </r>
  <r>
    <s v="Si tú me miras"/>
    <s v="Alejandro Sanz"/>
    <x v="1"/>
    <s v="Si Tu Me Miras"/>
    <s v="1993-05-14"/>
    <n v="1993"/>
    <n v="257920"/>
    <s v="257.92"/>
    <s v="4–5 min"/>
    <n v="68"/>
    <s v="Alta"/>
    <b v="0"/>
    <d v="2026-07-24T09:20:19"/>
    <n v="2026"/>
  </r>
  <r>
    <s v="Corazón partío"/>
    <s v="Alejandro Sanz"/>
    <x v="1"/>
    <s v="Más"/>
    <s v="1997"/>
    <n v="1997"/>
    <n v="343413"/>
    <s v="343.413"/>
    <s v="Más de 5 min"/>
    <n v="81"/>
    <s v="Muy alta"/>
    <b v="0"/>
    <d v="2026-07-24T09:20:19"/>
    <n v="2026"/>
  </r>
  <r>
    <s v="Los dos cogidos de la mano"/>
    <s v="Alejandro Sanz"/>
    <x v="1"/>
    <s v="Basico"/>
    <s v="1994-11-18"/>
    <n v="1994"/>
    <n v="280266"/>
    <s v="280.266"/>
    <s v="4–5 min"/>
    <n v="48"/>
    <s v="Media"/>
    <b v="0"/>
    <d v="2026-07-24T09:20:19"/>
    <n v="2026"/>
  </r>
  <r>
    <s v="Viviendo deprisa"/>
    <s v="Alejandro Sanz"/>
    <x v="1"/>
    <s v="Basico"/>
    <s v="1994-11-18"/>
    <n v="1994"/>
    <n v="216400"/>
    <s v="216.4"/>
    <s v="3–4 min"/>
    <n v="46"/>
    <s v="Media"/>
    <b v="0"/>
    <d v="2026-07-24T09:20:19"/>
    <n v="2026"/>
  </r>
  <r>
    <s v="El Trato"/>
    <s v="Alejandro Sanz"/>
    <x v="1"/>
    <s v="#ELDISCO"/>
    <s v="2019-04-04"/>
    <n v="2019"/>
    <n v="258236"/>
    <s v="258.236"/>
    <s v="4–5 min"/>
    <n v="45"/>
    <s v="Media"/>
    <b v="0"/>
    <d v="2026-07-24T09:20:19"/>
    <n v="2026"/>
  </r>
  <r>
    <s v="Si Yo Quisiera Y Si Tú Pudieras"/>
    <s v="Alejandro Sanz"/>
    <x v="1"/>
    <s v="Sanz"/>
    <s v="2021-12-09"/>
    <n v="2021"/>
    <n v="247871"/>
    <s v="247.871"/>
    <s v="4–5 min"/>
    <n v="32"/>
    <s v="Baja"/>
    <b v="0"/>
    <d v="2026-07-24T09:20:19"/>
    <n v="2026"/>
  </r>
  <r>
    <s v="El alma al aire"/>
    <s v="Alejandro Sanz"/>
    <x v="1"/>
    <s v="El alma al aire"/>
    <s v="2000-09-26"/>
    <n v="2000"/>
    <n v="356760"/>
    <s v="356.76"/>
    <s v="Más de 5 min"/>
    <n v="62"/>
    <s v="Alta"/>
    <b v="0"/>
    <d v="2026-07-24T09:20:19"/>
    <n v="2026"/>
  </r>
  <r>
    <s v="Mi Marciana"/>
    <s v="Alejandro Sanz"/>
    <x v="1"/>
    <s v="La Música No Se Toca (Deluxe)"/>
    <s v="2012-01-01"/>
    <n v="2012"/>
    <n v="293280"/>
    <s v="293.28"/>
    <s v="4–5 min"/>
    <n v="62"/>
    <s v="Alta"/>
    <b v="0"/>
    <d v="2026-07-24T09:20:19"/>
    <n v="2026"/>
  </r>
  <r>
    <s v="Canción sin emoción"/>
    <s v="Alejandro Sanz"/>
    <x v="1"/>
    <s v="Alejandro Sanz 3"/>
    <s v="1995-09-26"/>
    <n v="1995"/>
    <n v="251106"/>
    <s v="251.106"/>
    <s v="4–5 min"/>
    <n v="48"/>
    <s v="Media"/>
    <b v="0"/>
    <d v="2026-07-24T09:20:19"/>
    <n v="2026"/>
  </r>
  <r>
    <s v="Y sólo se me ocurre amarte"/>
    <s v="Alejandro Sanz"/>
    <x v="1"/>
    <s v="MTV Unplugged"/>
    <s v="2001-11-19"/>
    <n v="2001"/>
    <n v="277226"/>
    <s v="277.226"/>
    <s v="4–5 min"/>
    <n v="74"/>
    <s v="Alta"/>
    <b v="0"/>
    <d v="2026-07-24T09:20:19"/>
    <n v="2026"/>
  </r>
  <r>
    <s v="Amiga mía"/>
    <s v="Alejandro Sanz"/>
    <x v="1"/>
    <s v="Coleccion definitiva (Deluxe)"/>
    <s v="2011-11-11"/>
    <n v="2011"/>
    <n v="290973"/>
    <s v="290.973"/>
    <s v="4–5 min"/>
    <n v="43"/>
    <s v="Media"/>
    <b v="0"/>
    <d v="2026-07-24T09:20:19"/>
    <n v="2026"/>
  </r>
  <r>
    <s v="Mi primera canción"/>
    <s v="Alejandro Sanz"/>
    <x v="1"/>
    <s v="Coleccion definitiva (Deluxe)"/>
    <s v="2011-11-11"/>
    <n v="2011"/>
    <n v="275720"/>
    <s v="275.72"/>
    <s v="4–5 min"/>
    <n v="31"/>
    <s v="Baja"/>
    <b v="0"/>
    <d v="2026-07-24T09:20:19"/>
    <n v="2026"/>
  </r>
  <r>
    <s v="Nuestro amor será leyenda"/>
    <s v="Alejandro Sanz"/>
    <x v="1"/>
    <s v="Coleccion definitiva (Deluxe)"/>
    <s v="2011-11-11"/>
    <n v="2011"/>
    <n v="278160"/>
    <s v="278.16"/>
    <s v="4–5 min"/>
    <n v="40"/>
    <s v="Baja"/>
    <b v="0"/>
    <d v="2026-07-24T09:20:19"/>
    <n v="2026"/>
  </r>
  <r>
    <s v="Enséñame tus manos"/>
    <s v="Alejandro Sanz"/>
    <x v="1"/>
    <s v="Coleccion definitiva (Deluxe)"/>
    <s v="2011-11-11"/>
    <n v="2011"/>
    <n v="231359"/>
    <s v="231.359"/>
    <s v="3–4 min"/>
    <n v="27"/>
    <s v="Baja"/>
    <b v="0"/>
    <d v="2026-07-24T09:20:19"/>
    <n v="2026"/>
  </r>
  <r>
    <s v="Tú no tienes alma"/>
    <s v="Alejandro Sanz"/>
    <x v="1"/>
    <s v="Coleccion definitiva (Deluxe)"/>
    <s v="2011-11-11"/>
    <n v="2011"/>
    <n v="238719"/>
    <s v="238.719"/>
    <s v="3–4 min"/>
    <n v="28"/>
    <s v="Baja"/>
    <b v="0"/>
    <d v="2026-07-24T09:20:19"/>
    <n v="2026"/>
  </r>
  <r>
    <s v="Sin que se note"/>
    <s v="Alejandro Sanz"/>
    <x v="1"/>
    <s v="Coleccion definitiva (Deluxe)"/>
    <s v="2011-11-11"/>
    <n v="2011"/>
    <n v="266853"/>
    <s v="266.853"/>
    <s v="4–5 min"/>
    <n v="27"/>
    <s v="Baja"/>
    <b v="0"/>
    <d v="2026-07-24T09:20:19"/>
    <n v="2026"/>
  </r>
  <r>
    <s v="Para que me quieras"/>
    <s v="Alejandro Sanz"/>
    <x v="1"/>
    <s v="El alma al aire"/>
    <s v="2000-09-26"/>
    <n v="2000"/>
    <n v="269333"/>
    <s v="269.333"/>
    <s v="4–5 min"/>
    <n v="53"/>
    <s v="Media"/>
    <b v="0"/>
    <d v="2026-07-24T09:20:19"/>
    <n v="2026"/>
  </r>
  <r>
    <s v="Tiene que ser pecado"/>
    <s v="Alejandro Sanz"/>
    <x v="1"/>
    <s v="El alma al aire"/>
    <s v="2000-09-26"/>
    <n v="2000"/>
    <n v="305226"/>
    <s v="305.226"/>
    <s v="Más de 5 min"/>
    <n v="33"/>
    <s v="Baja"/>
    <b v="0"/>
    <d v="2026-07-24T09:20:19"/>
    <n v="2026"/>
  </r>
  <r>
    <s v="Me iré"/>
    <s v="Alejandro Sanz"/>
    <x v="1"/>
    <s v="El alma al aire"/>
    <s v="2000-09-26"/>
    <n v="2000"/>
    <n v="340106"/>
    <s v="340.106"/>
    <s v="Más de 5 min"/>
    <n v="45"/>
    <s v="Media"/>
    <b v="0"/>
    <d v="2026-07-24T09:20:19"/>
    <n v="2026"/>
  </r>
  <r>
    <s v="Hay un universo de pequeñas cosas"/>
    <s v="Alejandro Sanz"/>
    <x v="1"/>
    <s v="El alma al aire"/>
    <s v="2000-09-26"/>
    <n v="2000"/>
    <n v="321266"/>
    <s v="321.266"/>
    <s v="Más de 5 min"/>
    <n v="49"/>
    <s v="Media"/>
    <b v="0"/>
    <d v="2026-07-24T09:20:19"/>
    <n v="2026"/>
  </r>
  <r>
    <s v="Cómo te echo de menos"/>
    <s v="Alejandro Sanz"/>
    <x v="1"/>
    <s v="Basico"/>
    <s v="1994-11-18"/>
    <n v="1994"/>
    <n v="239440"/>
    <s v="239.44"/>
    <s v="3–4 min"/>
    <n v="49"/>
    <s v="Media"/>
    <b v="0"/>
    <d v="2026-07-24T09:20:19"/>
    <n v="2026"/>
  </r>
  <r>
    <s v="A golpes contra el calendario"/>
    <s v="Alejandro Sanz"/>
    <x v="1"/>
    <s v="Basico"/>
    <s v="1994-11-18"/>
    <n v="1994"/>
    <n v="316866"/>
    <s v="316.866"/>
    <s v="Más de 5 min"/>
    <n v="42"/>
    <s v="Media"/>
    <b v="0"/>
    <d v="2026-07-24T09:20:19"/>
    <n v="2026"/>
  </r>
  <r>
    <s v="Qué no te daría yo"/>
    <s v="Alejandro Sanz"/>
    <x v="1"/>
    <s v="Basico"/>
    <s v="1994-11-18"/>
    <n v="1994"/>
    <n v="243933"/>
    <s v="243.933"/>
    <s v="4–5 min"/>
    <n v="37"/>
    <s v="Baja"/>
    <b v="0"/>
    <d v="2026-07-24T09:20:19"/>
    <n v="2026"/>
  </r>
  <r>
    <s v="Regálame la silla donde te esperé"/>
    <s v="Alejandro Sanz"/>
    <x v="1"/>
    <s v="Coleccion definitiva"/>
    <s v="2011-11-11"/>
    <n v="2011"/>
    <n v="290880"/>
    <s v="290.88"/>
    <s v="4–5 min"/>
    <n v="36"/>
    <s v="Baja"/>
    <b v="0"/>
    <d v="2026-07-24T09:20:19"/>
    <n v="2026"/>
  </r>
  <r>
    <s v="He sido tan feliz contigo"/>
    <s v="Alejandro Sanz"/>
    <x v="1"/>
    <s v="Grandes exitos 1991-2004 (Edición especial)"/>
    <s v="2004-09-23"/>
    <n v="2004"/>
    <n v="229946"/>
    <s v="229.946"/>
    <s v="3–4 min"/>
    <n v="40"/>
    <s v="Baja"/>
    <b v="0"/>
    <d v="2026-07-24T09:20:19"/>
    <n v="2026"/>
  </r>
  <r>
    <s v="Seremos libres - Demo"/>
    <s v="Alejandro Sanz"/>
    <x v="1"/>
    <s v="Grandes exitos 1991-2004 (Edición especial)"/>
    <s v="2004-09-23"/>
    <n v="2004"/>
    <n v="285946"/>
    <s v="285.946"/>
    <s v="4–5 min"/>
    <n v="16"/>
    <s v="Muy baja"/>
    <b v="0"/>
    <d v="2026-07-24T09:20:19"/>
    <n v="2026"/>
  </r>
  <r>
    <s v="Canción de amor para olvidarte"/>
    <s v="Alejandro Sanz"/>
    <x v="1"/>
    <s v="Grandes exitos 1991-2004 (Edición especial)"/>
    <s v="2004-09-23"/>
    <n v="2004"/>
    <n v="315853"/>
    <s v="315.853"/>
    <s v="Más de 5 min"/>
    <n v="21"/>
    <s v="Baja"/>
    <b v="0"/>
    <d v="2026-07-24T09:20:19"/>
    <n v="2026"/>
  </r>
  <r>
    <s v="Me Sumerjo"/>
    <s v="Alejandro Sanz"/>
    <x v="1"/>
    <s v="La Música No Se Toca (Deluxe)"/>
    <s v="2012-01-01"/>
    <n v="2012"/>
    <n v="226546"/>
    <s v="226.546"/>
    <s v="3–4 min"/>
    <n v="40"/>
    <s v="Baja"/>
    <b v="0"/>
    <d v="2026-07-24T09:20:19"/>
    <n v="2026"/>
  </r>
  <r>
    <s v="Nena"/>
    <s v="Alejandro Sanz"/>
    <x v="1"/>
    <s v="La Música No Se Toca (Deluxe)"/>
    <s v="2012-01-01"/>
    <n v="2012"/>
    <n v="253573"/>
    <s v="253.573"/>
    <s v="4–5 min"/>
    <n v="41"/>
    <s v="Media"/>
    <b v="0"/>
    <d v="2026-07-24T09:20:19"/>
    <n v="2026"/>
  </r>
  <r>
    <s v="Bailo Con Vos"/>
    <s v="Alejandro Sanz"/>
    <x v="1"/>
    <s v="La Música No Se Toca (Deluxe)"/>
    <s v="2012-01-01"/>
    <n v="2012"/>
    <n v="207320"/>
    <s v="207.32"/>
    <s v="3–4 min"/>
    <n v="34"/>
    <s v="Baja"/>
    <b v="0"/>
    <d v="2026-07-24T09:20:19"/>
    <n v="2026"/>
  </r>
  <r>
    <s v="Palmeras en el jardín"/>
    <s v="Alejandro Sanz"/>
    <x v="1"/>
    <s v="Palmeras en el jardín"/>
    <s v="2024-10-25"/>
    <n v="2024"/>
    <n v="180725"/>
    <s v="180.725"/>
    <s v="3–4 min"/>
    <n v="53"/>
    <s v="Media"/>
    <b v="0"/>
    <d v="2026-07-24T09:20:19"/>
    <n v="2026"/>
  </r>
  <r>
    <s v="Tu letra podré acariciar - Acústica"/>
    <s v="Alejandro Sanz"/>
    <x v="1"/>
    <s v="Basico"/>
    <s v="1994-11-18"/>
    <n v="1994"/>
    <n v="210973"/>
    <s v="210.973"/>
    <s v="3–4 min"/>
    <n v="34"/>
    <s v="Baja"/>
    <b v="0"/>
    <d v="2026-07-24T09:20:19"/>
    <n v="2026"/>
  </r>
  <r>
    <s v="Si hay Dios..."/>
    <s v="Alejandro Sanz"/>
    <x v="1"/>
    <s v="Más"/>
    <s v="1997"/>
    <n v="1997"/>
    <n v="330960"/>
    <s v="330.96"/>
    <s v="Más de 5 min"/>
    <n v="61"/>
    <s v="Alta"/>
    <b v="0"/>
    <d v="2026-07-24T09:20:19"/>
    <n v="2026"/>
  </r>
  <r>
    <s v="A la primera persona"/>
    <s v="Alejandro Sanz"/>
    <x v="1"/>
    <s v="Coleccion definitiva"/>
    <s v="2011-11-11"/>
    <n v="2011"/>
    <n v="301933"/>
    <s v="301.933"/>
    <s v="Más de 5 min"/>
    <n v="53"/>
    <s v="Media"/>
    <b v="0"/>
    <d v="2026-07-24T09:20:19"/>
    <n v="2026"/>
  </r>
  <r>
    <s v="Yo Te Traigo...20 Años"/>
    <s v="Alejandro Sanz"/>
    <x v="1"/>
    <s v="La Música No Se Toca (Deluxe)"/>
    <s v="2012-01-01"/>
    <n v="2012"/>
    <n v="221480"/>
    <s v="221.48"/>
    <s v="3–4 min"/>
    <n v="45"/>
    <s v="Media"/>
    <b v="0"/>
    <d v="2026-07-24T09:20:19"/>
    <n v="2026"/>
  </r>
  <r>
    <s v="Un charquito de estrellas"/>
    <s v="Alejandro Sanz"/>
    <x v="1"/>
    <s v="Más"/>
    <s v="1997"/>
    <n v="1997"/>
    <n v="294320"/>
    <s v="294.32"/>
    <s v="4–5 min"/>
    <n v="51"/>
    <s v="Media"/>
    <b v="0"/>
    <d v="2026-07-24T09:20:19"/>
    <n v="2026"/>
  </r>
  <r>
    <s v="Hice llorar hasta los ángeles"/>
    <s v="Alejandro Sanz"/>
    <x v="1"/>
    <s v="Paraíso Express"/>
    <s v="2009-11-10"/>
    <n v="2009"/>
    <n v="249800"/>
    <s v="249.8"/>
    <s v="4–5 min"/>
    <n v="37"/>
    <s v="Baja"/>
    <b v="0"/>
    <d v="2026-07-24T09:20:19"/>
    <n v="2026"/>
  </r>
  <r>
    <s v="Se Vende"/>
    <s v="Alejandro Sanz"/>
    <x v="1"/>
    <s v="La Música No Se Toca (Deluxe)"/>
    <s v="2012-01-01"/>
    <n v="2012"/>
    <n v="231746"/>
    <s v="231.746"/>
    <s v="3–4 min"/>
    <n v="41"/>
    <s v="Media"/>
    <b v="0"/>
    <d v="2026-07-24T09:20:19"/>
    <n v="2026"/>
  </r>
  <r>
    <s v="A Mí No Me Importa"/>
    <s v="Alejandro Sanz"/>
    <x v="1"/>
    <s v="Sirope"/>
    <s v="2015-05-04"/>
    <n v="2015"/>
    <n v="189515"/>
    <s v="189.515"/>
    <s v="3–4 min"/>
    <n v="32"/>
    <s v="Baja"/>
    <b v="0"/>
    <d v="2026-07-24T09:20:19"/>
    <n v="2026"/>
  </r>
  <r>
    <s v="Duelo al amanecer"/>
    <s v="Alejandro Sanz"/>
    <x v="1"/>
    <s v="Viviendo deprisa"/>
    <s v="1991-08-20"/>
    <n v="1991"/>
    <n v="213200"/>
    <s v="213.2"/>
    <s v="3–4 min"/>
    <n v="34"/>
    <s v="Baja"/>
    <b v="0"/>
    <d v="2026-07-24T09:20:19"/>
    <n v="2026"/>
  </r>
  <r>
    <s v="Completamente loca"/>
    <s v="Alejandro Sanz"/>
    <x v="1"/>
    <s v="Viviendo deprisa"/>
    <s v="1991-08-20"/>
    <n v="1991"/>
    <n v="213893"/>
    <s v="213.893"/>
    <s v="3–4 min"/>
    <n v="37"/>
    <s v="Baja"/>
    <b v="0"/>
    <d v="2026-07-24T09:20:19"/>
    <n v="2026"/>
  </r>
  <r>
    <s v="Todo sigue igual"/>
    <s v="Alejandro Sanz"/>
    <x v="1"/>
    <s v="Viviendo deprisa"/>
    <s v="1991-08-20"/>
    <n v="1991"/>
    <n v="315973"/>
    <s v="315.973"/>
    <s v="Más de 5 min"/>
    <n v="33"/>
    <s v="Baja"/>
    <b v="0"/>
    <d v="2026-07-24T09:20:19"/>
    <n v="2026"/>
  </r>
  <r>
    <s v="Pero esta tarde no te vas"/>
    <s v="Alejandro Sanz"/>
    <x v="1"/>
    <s v="Paraíso Express"/>
    <s v="2009-11-10"/>
    <n v="2009"/>
    <n v="262720"/>
    <s v="262.72"/>
    <s v="4–5 min"/>
    <n v="41"/>
    <s v="Media"/>
    <b v="0"/>
    <d v="2026-07-24T09:20:19"/>
    <n v="2026"/>
  </r>
  <r>
    <s v="El vino de tu boca"/>
    <s v="Alejandro Sanz"/>
    <x v="1"/>
    <s v="¿Y ahora qué?"/>
    <s v="2025-05-23"/>
    <n v="2025"/>
    <n v="168840"/>
    <s v="168.84"/>
    <s v="2–3 min"/>
    <n v="67"/>
    <s v="Alta"/>
    <b v="0"/>
    <d v="2026-07-24T09:20:19"/>
    <n v="2026"/>
  </r>
  <r>
    <s v="Eso es amor"/>
    <s v="Alejandro Sanz"/>
    <x v="1"/>
    <s v="¿Y ahora qué?"/>
    <s v="2025-05-23"/>
    <n v="2025"/>
    <n v="164093"/>
    <s v="164.093"/>
    <s v="2–3 min"/>
    <n v="44"/>
    <s v="Media"/>
    <b v="0"/>
    <d v="2026-07-24T09:20:19"/>
    <n v="2026"/>
  </r>
  <r>
    <s v="Y, ¿Si fuera ella?"/>
    <s v="Alejandro Sanz"/>
    <x v="1"/>
    <s v="Más"/>
    <s v="1997"/>
    <n v="1997"/>
    <n v="323026"/>
    <s v="323.026"/>
    <s v="Más de 5 min"/>
    <n v="75"/>
    <s v="Alta"/>
    <b v="0"/>
    <d v="2026-07-24T09:20:19"/>
    <n v="2026"/>
  </r>
  <r>
    <s v="Ese último momento"/>
    <s v="Alejandro Sanz"/>
    <x v="1"/>
    <s v="Más"/>
    <s v="1997"/>
    <n v="1997"/>
    <n v="306213"/>
    <s v="306.213"/>
    <s v="Más de 5 min"/>
    <n v="55"/>
    <s v="Media"/>
    <b v="0"/>
    <d v="2026-07-24T09:20:19"/>
    <n v="2026"/>
  </r>
  <r>
    <s v="Hoy que no estás"/>
    <s v="Alejandro Sanz"/>
    <x v="1"/>
    <s v="Más"/>
    <s v="1997"/>
    <n v="1997"/>
    <n v="310680"/>
    <s v="310.68"/>
    <s v="Más de 5 min"/>
    <n v="50"/>
    <s v="Media"/>
    <b v="0"/>
    <d v="2026-07-24T09:20:19"/>
    <n v="2026"/>
  </r>
  <r>
    <s v="Siempre es de noche"/>
    <s v="Alejandro Sanz"/>
    <x v="1"/>
    <s v="Más"/>
    <s v="1997"/>
    <n v="1997"/>
    <n v="288026"/>
    <s v="288.026"/>
    <s v="4–5 min"/>
    <n v="63"/>
    <s v="Alta"/>
    <b v="0"/>
    <d v="2026-07-24T09:20:19"/>
    <n v="2026"/>
  </r>
  <r>
    <s v="La margarita dijo no"/>
    <s v="Alejandro Sanz"/>
    <x v="1"/>
    <s v="Más"/>
    <s v="1997"/>
    <n v="1997"/>
    <n v="294520"/>
    <s v="294.52"/>
    <s v="4–5 min"/>
    <n v="52"/>
    <s v="Media"/>
    <b v="0"/>
    <d v="2026-07-24T09:20:19"/>
    <n v="2026"/>
  </r>
  <r>
    <s v="Hoy llueve, hoy duele"/>
    <s v="Alejandro Sanz"/>
    <x v="1"/>
    <s v="No es lo mismo"/>
    <s v="2003-06-06"/>
    <n v="2003"/>
    <n v="292506"/>
    <s v="292.506"/>
    <s v="4–5 min"/>
    <n v="39"/>
    <s v="Baja"/>
    <b v="0"/>
    <d v="2026-07-24T09:20:19"/>
    <n v="2026"/>
  </r>
  <r>
    <s v="Las guapas"/>
    <s v="Alejandro Sanz"/>
    <x v="1"/>
    <s v="¿Y ahora qué +?"/>
    <s v="2025-11-21"/>
    <n v="2025"/>
    <n v="210200"/>
    <s v="210.2"/>
    <s v="3–4 min"/>
    <n v="68"/>
    <s v="Alta"/>
    <b v="0"/>
    <d v="2026-07-24T09:20:19"/>
    <n v="2026"/>
  </r>
  <r>
    <s v="Eso"/>
    <s v="Alejandro Sanz"/>
    <x v="1"/>
    <s v="No es lo mismo"/>
    <s v="2003-06-06"/>
    <n v="2003"/>
    <n v="257053"/>
    <s v="257.053"/>
    <s v="4–5 min"/>
    <n v="59"/>
    <s v="Media"/>
    <b v="0"/>
    <d v="2026-07-24T09:20:19"/>
    <n v="2026"/>
  </r>
  <r>
    <s v="No te olvidaré"/>
    <s v="Pablo Alborán"/>
    <x v="2"/>
    <s v="Pablo Alboran (Deluxe)"/>
    <s v="2011-02-01"/>
    <n v="2011"/>
    <n v="227706"/>
    <s v="227.706"/>
    <s v="3–4 min"/>
    <n v="37"/>
    <s v="Baja"/>
    <b v="0"/>
    <d v="2026-07-24T09:20:19"/>
    <n v="2026"/>
  </r>
  <r>
    <s v="Vértigo"/>
    <s v="Pablo Alborán"/>
    <x v="2"/>
    <s v="Vértigo"/>
    <s v="2020-12-11"/>
    <n v="2020"/>
    <n v="179530"/>
    <s v="179.53"/>
    <s v="2–3 min"/>
    <n v="35"/>
    <s v="Baja"/>
    <b v="0"/>
    <d v="2026-07-24T09:20:19"/>
    <n v="2026"/>
  </r>
  <r>
    <s v="De carne y hueso"/>
    <s v="Pablo Alborán"/>
    <x v="2"/>
    <s v="Vértigo"/>
    <s v="2020-12-11"/>
    <n v="2020"/>
    <n v="167650"/>
    <s v="167.65"/>
    <s v="2–3 min"/>
    <n v="35"/>
    <s v="Baja"/>
    <b v="0"/>
    <d v="2026-07-24T09:20:19"/>
    <n v="2026"/>
  </r>
  <r>
    <s v="Yo no lo sabía"/>
    <s v="Pablo Alborán"/>
    <x v="2"/>
    <s v="Tanto (Edición Premium)"/>
    <s v="2012"/>
    <n v="2012"/>
    <n v="238533"/>
    <s v="238.533"/>
    <s v="3–4 min"/>
    <n v="39"/>
    <s v="Baja"/>
    <b v="0"/>
    <d v="2026-07-24T09:20:19"/>
    <n v="2026"/>
  </r>
  <r>
    <s v="No está en tus planes"/>
    <s v="Pablo Alborán"/>
    <x v="2"/>
    <s v="Vértigo"/>
    <s v="2020-12-11"/>
    <n v="2020"/>
    <n v="205368"/>
    <s v="205.368"/>
    <s v="3–4 min"/>
    <n v="38"/>
    <s v="Baja"/>
    <b v="0"/>
    <d v="2026-07-24T09:20:19"/>
    <n v="2026"/>
  </r>
  <r>
    <s v="Cuando te alejas"/>
    <s v="Pablo Alborán"/>
    <x v="2"/>
    <s v="Pablo Alboran (Deluxe)"/>
    <s v="2011-02-01"/>
    <n v="2011"/>
    <n v="209374"/>
    <s v="209.374"/>
    <s v="3–4 min"/>
    <n v="42"/>
    <s v="Media"/>
    <b v="0"/>
    <d v="2026-07-24T09:20:19"/>
    <n v="2026"/>
  </r>
  <r>
    <s v="Loco de atar"/>
    <s v="Pablo Alborán"/>
    <x v="2"/>
    <s v="Pablo Alboran (Deluxe)"/>
    <s v="2011-02-01"/>
    <n v="2011"/>
    <n v="215013"/>
    <s v="215.013"/>
    <s v="3–4 min"/>
    <n v="36"/>
    <s v="Baja"/>
    <b v="0"/>
    <d v="2026-07-24T09:20:19"/>
    <n v="2026"/>
  </r>
  <r>
    <s v="Deshidratándome"/>
    <s v="Pablo Alborán"/>
    <x v="2"/>
    <s v="Tanto (Edición Premium)"/>
    <s v="2012"/>
    <n v="2012"/>
    <n v="246653"/>
    <s v="246.653"/>
    <s v="4–5 min"/>
    <n v="37"/>
    <s v="Baja"/>
    <b v="0"/>
    <d v="2026-07-24T09:20:19"/>
    <n v="2026"/>
  </r>
  <r>
    <s v="Ahogándome tu adiós"/>
    <s v="Pablo Alborán"/>
    <x v="2"/>
    <s v="Terral"/>
    <s v="2014-11-10"/>
    <n v="2014"/>
    <n v="252133"/>
    <s v="252.133"/>
    <s v="4–5 min"/>
    <n v="40"/>
    <s v="Baja"/>
    <b v="0"/>
    <d v="2026-07-24T09:20:19"/>
    <n v="2026"/>
  </r>
  <r>
    <s v="El olvido"/>
    <s v="Pablo Alborán"/>
    <x v="2"/>
    <s v="Terral"/>
    <s v="2014-11-10"/>
    <n v="2014"/>
    <n v="289533"/>
    <s v="289.533"/>
    <s v="4–5 min"/>
    <n v="36"/>
    <s v="Baja"/>
    <b v="0"/>
    <d v="2026-07-24T09:20:19"/>
    <n v="2026"/>
  </r>
  <r>
    <s v="Pasos de cero"/>
    <s v="Pablo Alborán"/>
    <x v="2"/>
    <s v="Terral"/>
    <s v="2014-11-10"/>
    <n v="2014"/>
    <n v="234373"/>
    <s v="234.373"/>
    <s v="3–4 min"/>
    <n v="71"/>
    <s v="Alta"/>
    <b v="0"/>
    <d v="2026-07-24T09:20:19"/>
    <n v="2026"/>
  </r>
  <r>
    <s v="Éxtasis - Radio Edit"/>
    <s v="Pablo Alborán"/>
    <x v="2"/>
    <s v="Tanto (Edición Premium)"/>
    <s v="2012"/>
    <n v="2012"/>
    <n v="200639"/>
    <s v="200.639"/>
    <s v="3–4 min"/>
    <n v="36"/>
    <s v="Baja"/>
    <b v="0"/>
    <d v="2026-07-24T09:20:19"/>
    <n v="2026"/>
  </r>
  <r>
    <s v="Al paraíso"/>
    <s v="Pablo Alborán"/>
    <x v="2"/>
    <s v="Prometo (Edición especial)"/>
    <s v="2018-11-30"/>
    <n v="2018"/>
    <n v="192493"/>
    <s v="192.493"/>
    <s v="3–4 min"/>
    <n v="22"/>
    <s v="Baja"/>
    <b v="0"/>
    <d v="2026-07-24T09:20:19"/>
    <n v="2026"/>
  </r>
  <r>
    <s v="Cuerda al corazón"/>
    <s v="Pablo Alborán"/>
    <x v="2"/>
    <s v="Prometo (Edición especial)"/>
    <s v="2018-11-30"/>
    <n v="2018"/>
    <n v="218560"/>
    <s v="218.56"/>
    <s v="3–4 min"/>
    <n v="25"/>
    <s v="Baja"/>
    <b v="0"/>
    <d v="2026-07-24T09:20:19"/>
    <n v="2026"/>
  </r>
  <r>
    <s v="Corazón descalzo"/>
    <s v="Pablo Alborán"/>
    <x v="2"/>
    <s v="Vértigo"/>
    <s v="2020-12-11"/>
    <n v="2020"/>
    <n v="254927"/>
    <s v="254.927"/>
    <s v="4–5 min"/>
    <n v="41"/>
    <s v="Media"/>
    <b v="0"/>
    <d v="2026-07-24T09:20:19"/>
    <n v="2026"/>
  </r>
  <r>
    <s v="El vendaval"/>
    <s v="Pablo Alborán"/>
    <x v="2"/>
    <s v="Vértigo"/>
    <s v="2020-12-11"/>
    <n v="2020"/>
    <n v="199741"/>
    <s v="199.741"/>
    <s v="3–4 min"/>
    <n v="37"/>
    <s v="Baja"/>
    <b v="0"/>
    <d v="2026-07-24T09:20:19"/>
    <n v="2026"/>
  </r>
  <r>
    <s v="Gracias"/>
    <s v="Pablo Alborán"/>
    <x v="2"/>
    <s v="Terral (Version Française)"/>
    <s v="2014"/>
    <n v="2014"/>
    <n v="264493"/>
    <s v="264.493"/>
    <s v="4–5 min"/>
    <n v="10"/>
    <s v="Muy baja"/>
    <b v="0"/>
    <d v="2026-07-24T09:20:19"/>
    <n v="2026"/>
  </r>
  <r>
    <s v="Te he echado de menos - Radio Edit"/>
    <s v="Pablo Alborán"/>
    <x v="2"/>
    <s v="Pablo Alboran (Deluxe)"/>
    <s v="2011-02-01"/>
    <n v="2011"/>
    <n v="232573"/>
    <s v="232.573"/>
    <s v="3–4 min"/>
    <n v="65"/>
    <s v="Alta"/>
    <b v="0"/>
    <d v="2026-07-24T09:20:19"/>
    <n v="2026"/>
  </r>
  <r>
    <s v="Volver a empezar"/>
    <s v="Pablo Alborán"/>
    <x v="2"/>
    <s v="Pablo Alboran (Deluxe)"/>
    <s v="2011-02-01"/>
    <n v="2011"/>
    <n v="208906"/>
    <s v="208.906"/>
    <s v="3–4 min"/>
    <n v="47"/>
    <s v="Media"/>
    <b v="0"/>
    <d v="2026-07-24T09:20:19"/>
    <n v="2026"/>
  </r>
  <r>
    <s v="Vuelve conmigo"/>
    <s v="Pablo Alborán"/>
    <x v="2"/>
    <s v="Pablo Alboran (Deluxe)"/>
    <s v="2011-02-01"/>
    <n v="2011"/>
    <n v="239893"/>
    <s v="239.893"/>
    <s v="3–4 min"/>
    <n v="41"/>
    <s v="Media"/>
    <b v="0"/>
    <d v="2026-07-24T09:20:19"/>
    <n v="2026"/>
  </r>
  <r>
    <s v="Volvería"/>
    <s v="Pablo Alborán"/>
    <x v="2"/>
    <s v="Terral"/>
    <s v="2014-11-10"/>
    <n v="2014"/>
    <n v="261973"/>
    <s v="261.973"/>
    <s v="4–5 min"/>
    <n v="55"/>
    <s v="Media"/>
    <b v="0"/>
    <d v="2026-07-24T09:20:19"/>
    <n v="2026"/>
  </r>
  <r>
    <s v="El beso"/>
    <s v="Pablo Alborán"/>
    <x v="2"/>
    <s v="Tanto (Edición Premium)"/>
    <s v="2012"/>
    <n v="2012"/>
    <n v="258839"/>
    <s v="258.839"/>
    <s v="4–5 min"/>
    <n v="49"/>
    <s v="Media"/>
    <b v="0"/>
    <d v="2026-07-24T09:20:19"/>
    <n v="2026"/>
  </r>
  <r>
    <s v="La llave"/>
    <s v="Pablo Alborán"/>
    <x v="2"/>
    <s v="La llave"/>
    <s v="2017-10-19"/>
    <n v="2017"/>
    <n v="196853"/>
    <s v="196.853"/>
    <s v="3–4 min"/>
    <n v="21"/>
    <s v="Baja"/>
    <b v="0"/>
    <d v="2026-07-24T09:20:19"/>
    <n v="2026"/>
  </r>
  <r>
    <s v="Despídete"/>
    <s v="Pablo Alborán"/>
    <x v="2"/>
    <s v="Terral"/>
    <s v="2014-11-10"/>
    <n v="2014"/>
    <n v="228160"/>
    <s v="228.16"/>
    <s v="3–4 min"/>
    <n v="36"/>
    <s v="Baja"/>
    <b v="0"/>
    <d v="2026-07-24T09:20:19"/>
    <n v="2026"/>
  </r>
  <r>
    <s v="Me iré"/>
    <s v="Pablo Alborán"/>
    <x v="2"/>
    <s v="Tanto (Edición Premium)"/>
    <s v="2012"/>
    <n v="2012"/>
    <n v="248133"/>
    <s v="248.133"/>
    <s v="4–5 min"/>
    <n v="36"/>
    <s v="Baja"/>
    <b v="0"/>
    <d v="2026-07-24T09:20:19"/>
    <n v="2026"/>
  </r>
  <r>
    <s v="Ecos - En directo"/>
    <s v="Pablo Alborán"/>
    <x v="2"/>
    <s v="Tour Terral (Tres noches en Las Ventas)"/>
    <s v="2015-11-06"/>
    <n v="2015"/>
    <n v="275720"/>
    <s v="275.72"/>
    <s v="4–5 min"/>
    <n v="43"/>
    <s v="Media"/>
    <b v="0"/>
    <d v="2026-07-24T09:20:19"/>
    <n v="2026"/>
  </r>
  <r>
    <s v="Soy capaz - Versión Acústica"/>
    <s v="Pablo Alborán"/>
    <x v="2"/>
    <s v="Soy capaz"/>
    <s v="2021-11-12"/>
    <n v="2021"/>
    <n v="225041"/>
    <s v="225.041"/>
    <s v="3–4 min"/>
    <n v="23"/>
    <s v="Baja"/>
    <b v="0"/>
    <d v="2026-07-24T09:20:19"/>
    <n v="2026"/>
  </r>
  <r>
    <s v="Un buen amor"/>
    <s v="Pablo Alborán"/>
    <x v="2"/>
    <s v="Terral"/>
    <s v="2014-11-10"/>
    <n v="2014"/>
    <n v="257253"/>
    <s v="257.253"/>
    <s v="4–5 min"/>
    <n v="36"/>
    <s v="Baja"/>
    <b v="0"/>
    <d v="2026-07-24T09:20:19"/>
    <n v="2026"/>
  </r>
  <r>
    <s v="Solamente tú"/>
    <s v="Pablo Alborán"/>
    <x v="2"/>
    <s v="Pablo Alboran (Deluxe)"/>
    <s v="2011-02-01"/>
    <n v="2011"/>
    <n v="247186"/>
    <s v="247.186"/>
    <s v="4–5 min"/>
    <n v="76"/>
    <s v="Alta"/>
    <b v="0"/>
    <d v="2026-07-24T09:20:19"/>
    <n v="2026"/>
  </r>
  <r>
    <s v="Se puede amar"/>
    <s v="Pablo Alborán"/>
    <x v="2"/>
    <s v="Se puede amar"/>
    <s v="2016-04-22"/>
    <n v="2016"/>
    <n v="217760"/>
    <s v="217.76"/>
    <s v="3–4 min"/>
    <n v="55"/>
    <s v="Media"/>
    <b v="0"/>
    <d v="2026-07-24T09:20:19"/>
    <n v="2026"/>
  </r>
  <r>
    <s v="Tabú - Versión piano y voz"/>
    <s v="Pablo Alborán"/>
    <x v="2"/>
    <s v="Tabú EP"/>
    <s v="2020-01-24"/>
    <n v="2020"/>
    <n v="198818"/>
    <s v="198.818"/>
    <s v="3–4 min"/>
    <n v="24"/>
    <s v="Baja"/>
    <b v="0"/>
    <d v="2026-07-24T09:20:19"/>
    <n v="2026"/>
  </r>
  <r>
    <s v="Castillos de arena"/>
    <s v="Pablo Alborán"/>
    <x v="2"/>
    <s v="Castillos de arena"/>
    <s v="2022-01-14"/>
    <n v="2022"/>
    <n v="252221"/>
    <s v="252.221"/>
    <s v="4–5 min"/>
    <n v="42"/>
    <s v="Media"/>
    <b v="0"/>
    <d v="2026-07-24T09:20:19"/>
    <n v="2026"/>
  </r>
  <r>
    <s v="Me colé por la puerta de atrás"/>
    <s v="Pablo Alborán"/>
    <x v="2"/>
    <s v="Pablo Alboran (Deluxe)"/>
    <s v="2011-02-01"/>
    <n v="2011"/>
    <n v="207920"/>
    <s v="207.92"/>
    <s v="3–4 min"/>
    <n v="35"/>
    <s v="Baja"/>
    <b v="0"/>
    <d v="2026-07-24T09:20:19"/>
    <n v="2026"/>
  </r>
  <r>
    <s v="Palmeras en la nieve"/>
    <s v="Pablo Alborán"/>
    <x v="2"/>
    <s v="Tour Terral (Tres noches en Las Ventas)"/>
    <s v="2015-11-06"/>
    <n v="2015"/>
    <n v="220105"/>
    <s v="220.105"/>
    <s v="3–4 min"/>
    <n v="42"/>
    <s v="Media"/>
    <b v="0"/>
    <d v="2026-07-24T09:20:19"/>
    <n v="2026"/>
  </r>
  <r>
    <s v="Cuando estés aquí"/>
    <s v="Pablo Alborán"/>
    <x v="2"/>
    <s v="Cuando estés aquí"/>
    <s v="2020-04-13"/>
    <n v="2020"/>
    <n v="190219"/>
    <s v="190.219"/>
    <s v="3–4 min"/>
    <n v="41"/>
    <s v="Media"/>
    <b v="0"/>
    <d v="2026-07-24T09:20:19"/>
    <n v="2026"/>
  </r>
  <r>
    <s v="Idiota"/>
    <s v="Pablo Alborán"/>
    <x v="2"/>
    <s v="Prometo"/>
    <s v="2017-06-01"/>
    <n v="2017"/>
    <n v="206600"/>
    <s v="206.6"/>
    <s v="3–4 min"/>
    <n v="38"/>
    <s v="Baja"/>
    <b v="0"/>
    <d v="2026-07-24T09:20:19"/>
    <n v="2026"/>
  </r>
  <r>
    <s v="Está permitido"/>
    <s v="Pablo Alborán"/>
    <x v="2"/>
    <s v="Terral"/>
    <s v="2014-11-10"/>
    <n v="2014"/>
    <n v="224693"/>
    <s v="224.693"/>
    <s v="3–4 min"/>
    <n v="39"/>
    <s v="Baja"/>
    <b v="0"/>
    <d v="2026-07-24T09:20:19"/>
    <n v="2026"/>
  </r>
  <r>
    <s v="Carretera y manta"/>
    <s v="Pablo Alborán"/>
    <x v="2"/>
    <s v="Carretera y manta"/>
    <s v="2022-07-15"/>
    <n v="2022"/>
    <n v="163244"/>
    <s v="163.244"/>
    <s v="2–3 min"/>
    <n v="53"/>
    <s v="Media"/>
    <b v="0"/>
    <d v="2026-07-24T09:20:19"/>
    <n v="2026"/>
  </r>
  <r>
    <s v="Perdóname"/>
    <s v="Pablo Alborán"/>
    <x v="2"/>
    <s v="Pablo Alboran (Deluxe)"/>
    <s v="2011-02-01"/>
    <n v="2011"/>
    <n v="251200"/>
    <s v="251.2"/>
    <s v="4–5 min"/>
    <n v="62"/>
    <s v="Alta"/>
    <b v="0"/>
    <d v="2026-07-24T09:20:19"/>
    <n v="2026"/>
  </r>
  <r>
    <s v="Donde está el amor"/>
    <s v="Pablo Alborán"/>
    <x v="2"/>
    <s v="Tanto (Edición Premium)"/>
    <s v="2012"/>
    <n v="2012"/>
    <n v="225013"/>
    <s v="225.013"/>
    <s v="3–4 min"/>
    <n v="58"/>
    <s v="Media"/>
    <b v="0"/>
    <d v="2026-07-24T09:20:19"/>
    <n v="2026"/>
  </r>
  <r>
    <s v="Saturno"/>
    <s v="Pablo Alborán"/>
    <x v="2"/>
    <s v="Prometo"/>
    <s v="2017-06-01"/>
    <n v="2017"/>
    <n v="253760"/>
    <s v="253.76"/>
    <s v="4–5 min"/>
    <n v="78"/>
    <s v="Alta"/>
    <b v="0"/>
    <d v="2026-07-24T09:20:19"/>
    <n v="2026"/>
  </r>
  <r>
    <s v="Vivir"/>
    <s v="Pablo Alborán"/>
    <x v="2"/>
    <s v="Prometo"/>
    <s v="2017-06-01"/>
    <n v="2017"/>
    <n v="228640"/>
    <s v="228.64"/>
    <s v="3–4 min"/>
    <n v="43"/>
    <s v="Media"/>
    <b v="0"/>
    <d v="2026-07-24T09:20:19"/>
    <n v="2026"/>
  </r>
  <r>
    <s v="Toda la noche"/>
    <s v="Pablo Alborán"/>
    <x v="2"/>
    <s v="Tanto (Edición Premium)"/>
    <s v="2012"/>
    <n v="2012"/>
    <n v="184093"/>
    <s v="184.093"/>
    <s v="3–4 min"/>
    <n v="35"/>
    <s v="Baja"/>
    <b v="0"/>
    <d v="2026-07-24T09:20:19"/>
    <n v="2026"/>
  </r>
  <r>
    <s v="Seré"/>
    <s v="Pablo Alborán"/>
    <x v="2"/>
    <s v="Tanto (Edición Premium)"/>
    <s v="2012"/>
    <n v="2012"/>
    <n v="253600"/>
    <s v="253.6"/>
    <s v="4–5 min"/>
    <n v="41"/>
    <s v="Media"/>
    <b v="0"/>
    <d v="2026-07-24T09:20:19"/>
    <n v="2026"/>
  </r>
  <r>
    <s v="En brazos de ella"/>
    <s v="Pablo Alborán"/>
    <x v="2"/>
    <s v="Tanto (Edición Premium)"/>
    <s v="2012"/>
    <n v="2012"/>
    <n v="236640"/>
    <s v="236.64"/>
    <s v="3–4 min"/>
    <n v="36"/>
    <s v="Baja"/>
    <b v="0"/>
    <d v="2026-07-24T09:20:19"/>
    <n v="2026"/>
  </r>
  <r>
    <s v="Miedo"/>
    <s v="Pablo Alborán"/>
    <x v="2"/>
    <s v="Pablo Alboran (Deluxe)"/>
    <s v="2011-02-01"/>
    <n v="2011"/>
    <n v="224866"/>
    <s v="224.866"/>
    <s v="3–4 min"/>
    <n v="53"/>
    <s v="Media"/>
    <b v="0"/>
    <d v="2026-07-24T09:20:19"/>
    <n v="2026"/>
  </r>
  <r>
    <s v="Caramelo"/>
    <s v="Pablo Alborán"/>
    <x v="2"/>
    <s v="Pablo Alboran (Deluxe)"/>
    <s v="2011-02-01"/>
    <n v="2011"/>
    <n v="262746"/>
    <s v="262.746"/>
    <s v="4–5 min"/>
    <n v="45"/>
    <s v="Media"/>
    <b v="0"/>
    <d v="2026-07-24T09:20:19"/>
    <n v="2026"/>
  </r>
  <r>
    <s v="Desencuentro"/>
    <s v="Pablo Alborán"/>
    <x v="2"/>
    <s v="Pablo Alboran (Deluxe)"/>
    <s v="2011-02-01"/>
    <n v="2011"/>
    <n v="237773"/>
    <s v="237.773"/>
    <s v="3–4 min"/>
    <n v="52"/>
    <s v="Media"/>
    <b v="0"/>
    <d v="2026-07-24T09:20:19"/>
    <n v="2026"/>
  </r>
  <r>
    <s v="La escalera"/>
    <s v="Pablo Alborán"/>
    <x v="2"/>
    <s v="Terral"/>
    <s v="2014-11-10"/>
    <n v="2014"/>
    <n v="237080"/>
    <s v="237.08"/>
    <s v="3–4 min"/>
    <n v="47"/>
    <s v="Media"/>
    <b v="0"/>
    <d v="2026-07-24T09:20:19"/>
    <n v="2026"/>
  </r>
  <r>
    <s v="Voraces"/>
    <s v="Pablo Alborán"/>
    <x v="2"/>
    <s v="La cuarta hoja"/>
    <s v="2022-12-01"/>
    <n v="2022"/>
    <n v="189471"/>
    <s v="189.471"/>
    <s v="3–4 min"/>
    <n v="45"/>
    <s v="Media"/>
    <b v="0"/>
    <d v="2026-07-24T09:20:19"/>
    <n v="2026"/>
  </r>
  <r>
    <s v="El traje"/>
    <s v="Pablo Alborán"/>
    <x v="2"/>
    <s v="La cuarta hoja"/>
    <s v="2022-12-01"/>
    <n v="2022"/>
    <n v="193831"/>
    <s v="193.831"/>
    <s v="3–4 min"/>
    <n v="44"/>
    <s v="Media"/>
    <b v="0"/>
    <d v="2026-07-24T09:20:19"/>
    <n v="2026"/>
  </r>
  <r>
    <s v="A batir las alas"/>
    <s v="Pablo Alborán"/>
    <x v="2"/>
    <s v="La cuarta hoja"/>
    <s v="2022-12-01"/>
    <n v="2022"/>
    <n v="224210"/>
    <s v="224.21"/>
    <s v="3–4 min"/>
    <n v="42"/>
    <s v="Media"/>
    <b v="0"/>
    <d v="2026-07-24T09:20:19"/>
    <n v="2026"/>
  </r>
  <r>
    <s v="Por fin - Acústico"/>
    <s v="Pablo Alborán"/>
    <x v="2"/>
    <s v="Terral"/>
    <s v="2014-11-10"/>
    <n v="2014"/>
    <n v="240706"/>
    <s v="240.706"/>
    <s v="4–5 min"/>
    <n v="42"/>
    <s v="Media"/>
    <b v="0"/>
    <d v="2026-07-24T09:20:19"/>
    <n v="2026"/>
  </r>
  <r>
    <s v="CLICKBAIT"/>
    <s v="Pablo Alborán"/>
    <x v="2"/>
    <s v="CLICKBAIT"/>
    <s v="2025-03-26"/>
    <n v="2025"/>
    <n v="160431"/>
    <s v="160.431"/>
    <s v="2–3 min"/>
    <n v="47"/>
    <s v="Media"/>
    <b v="0"/>
    <d v="2026-07-24T09:20:19"/>
    <n v="2026"/>
  </r>
  <r>
    <s v="Quién"/>
    <s v="Pablo Alborán"/>
    <x v="2"/>
    <s v="Tanto (Edición Premium)"/>
    <s v="2012"/>
    <n v="2012"/>
    <n v="249253"/>
    <s v="249.253"/>
    <s v="4–5 min"/>
    <n v="71"/>
    <s v="Alta"/>
    <b v="0"/>
    <d v="2026-07-24T09:20:19"/>
    <n v="2026"/>
  </r>
  <r>
    <s v="La fiesta"/>
    <s v="Pablo Alborán"/>
    <x v="2"/>
    <s v="Vértigo"/>
    <s v="2020-12-11"/>
    <n v="2020"/>
    <n v="212106"/>
    <s v="212.106"/>
    <s v="3–4 min"/>
    <n v="42"/>
    <s v="Media"/>
    <b v="0"/>
    <d v="2026-07-24T09:20:19"/>
    <n v="2026"/>
  </r>
  <r>
    <s v="Dicen"/>
    <s v="Pablo Alborán"/>
    <x v="2"/>
    <s v="Vértigo"/>
    <s v="2020-12-11"/>
    <n v="2020"/>
    <n v="210211"/>
    <s v="210.211"/>
    <s v="3–4 min"/>
    <n v="36"/>
    <s v="Baja"/>
    <b v="0"/>
    <d v="2026-07-24T09:20:19"/>
    <n v="2026"/>
  </r>
  <r>
    <s v="Hablemos de amor"/>
    <s v="Pablo Alborán"/>
    <x v="2"/>
    <s v="Vértigo"/>
    <s v="2020-12-11"/>
    <n v="2020"/>
    <n v="209221"/>
    <s v="209.221"/>
    <s v="3–4 min"/>
    <n v="47"/>
    <s v="Media"/>
    <b v="0"/>
    <d v="2026-07-24T09:20:19"/>
    <n v="2026"/>
  </r>
  <r>
    <s v="Que siempre sea verano"/>
    <s v="Pablo Alborán"/>
    <x v="2"/>
    <s v="Vértigo"/>
    <s v="2020-12-11"/>
    <n v="2020"/>
    <n v="189157"/>
    <s v="189.157"/>
    <s v="3–4 min"/>
    <n v="52"/>
    <s v="Media"/>
    <b v="0"/>
    <d v="2026-07-24T09:20:19"/>
    <n v="2026"/>
  </r>
  <r>
    <s v="Boca de hule"/>
    <s v="Pablo Alborán"/>
    <x v="2"/>
    <s v="Prometo"/>
    <s v="2017-06-01"/>
    <n v="2017"/>
    <n v="253826"/>
    <s v="253.826"/>
    <s v="4–5 min"/>
    <n v="39"/>
    <s v="Baja"/>
    <b v="0"/>
    <d v="2026-07-24T09:20:19"/>
    <n v="2026"/>
  </r>
  <r>
    <s v="KM0 - Versión piano y voz"/>
    <s v="Pablo Alborán"/>
    <x v="2"/>
    <s v="KM0 (Versión piano y voz)"/>
    <s v="2025-06-27"/>
    <n v="2025"/>
    <n v="263301"/>
    <s v="263.301"/>
    <s v="4–5 min"/>
    <n v="32"/>
    <s v="Baja"/>
    <b v="0"/>
    <d v="2026-07-24T09:20:19"/>
    <n v="2026"/>
  </r>
  <r>
    <s v="Si hubieras querido"/>
    <s v="Pablo Alborán"/>
    <x v="2"/>
    <s v="Si hubieras querido"/>
    <s v="2020-09-24"/>
    <n v="2020"/>
    <n v="221139"/>
    <s v="221.139"/>
    <s v="3–4 min"/>
    <n v="49"/>
    <s v="Media"/>
    <b v="0"/>
    <d v="2026-07-24T09:20:19"/>
    <n v="2026"/>
  </r>
  <r>
    <s v="Tanto"/>
    <s v="Pablo Alborán"/>
    <x v="2"/>
    <s v="Tanto (Edición Premium)"/>
    <s v="2012"/>
    <n v="2012"/>
    <n v="256640"/>
    <s v="256.64"/>
    <s v="4–5 min"/>
    <n v="64"/>
    <s v="Alta"/>
    <b v="0"/>
    <d v="2026-07-24T09:20:19"/>
    <n v="2026"/>
  </r>
  <r>
    <s v="Recuérdame"/>
    <s v="Pablo Alborán"/>
    <x v="2"/>
    <s v="Terral"/>
    <s v="2014-11-10"/>
    <n v="2014"/>
    <n v="287733"/>
    <s v="287.733"/>
    <s v="4–5 min"/>
    <n v="68"/>
    <s v="Alta"/>
    <b v="0"/>
    <d v="2026-07-24T09:20:19"/>
    <n v="2026"/>
  </r>
  <r>
    <s v="Prometo"/>
    <s v="Pablo Alborán"/>
    <x v="2"/>
    <s v="Prometo"/>
    <s v="2017-11-17"/>
    <n v="2017"/>
    <n v="307106"/>
    <s v="307.106"/>
    <s v="Más de 5 min"/>
    <n v="51"/>
    <s v="Media"/>
    <b v="0"/>
    <d v="2026-07-24T09:20:19"/>
    <n v="2026"/>
  </r>
  <r>
    <s v="Tu refugio"/>
    <s v="Pablo Alborán"/>
    <x v="2"/>
    <s v="Prometo"/>
    <s v="2017-11-17"/>
    <n v="2017"/>
    <n v="262000"/>
    <s v="262"/>
    <s v="4–5 min"/>
    <n v="52"/>
    <s v="Media"/>
    <b v="0"/>
    <d v="2026-07-24T09:20:19"/>
    <n v="2026"/>
  </r>
  <r>
    <s v="Curo tus labios"/>
    <s v="Pablo Alborán"/>
    <x v="2"/>
    <s v="Prometo"/>
    <s v="2017-11-17"/>
    <n v="2017"/>
    <n v="255986"/>
    <s v="255.986"/>
    <s v="4–5 min"/>
    <n v="41"/>
    <s v="Media"/>
    <b v="0"/>
    <d v="2026-07-24T09:20:19"/>
    <n v="2026"/>
  </r>
  <r>
    <s v="Lo nuestro"/>
    <s v="Pablo Alborán"/>
    <x v="2"/>
    <s v="Prometo"/>
    <s v="2017-11-17"/>
    <n v="2017"/>
    <n v="249760"/>
    <s v="249.76"/>
    <s v="4–5 min"/>
    <n v="36"/>
    <s v="Baja"/>
    <b v="0"/>
    <d v="2026-07-24T09:20:19"/>
    <n v="2026"/>
  </r>
  <r>
    <s v="Mis 36"/>
    <s v="Pablo Alborán"/>
    <x v="2"/>
    <s v="Mis 36"/>
    <s v="2025-09-23"/>
    <n v="2025"/>
    <n v="242291"/>
    <s v="242.291"/>
    <s v="4–5 min"/>
    <n v="49"/>
    <s v="Media"/>
    <b v="0"/>
    <d v="2026-07-24T09:20:19"/>
    <n v="2026"/>
  </r>
  <r>
    <s v="Me quedo"/>
    <s v="Pablo Alborán"/>
    <x v="2"/>
    <s v="KM0"/>
    <s v="2025-11-07"/>
    <n v="2025"/>
    <n v="191496"/>
    <s v="191.496"/>
    <s v="3–4 min"/>
    <n v="55"/>
    <s v="Media"/>
    <b v="0"/>
    <d v="2026-07-24T09:20:19"/>
    <n v="2026"/>
  </r>
  <r>
    <s v="Si quisieras"/>
    <s v="Pablo Alborán"/>
    <x v="2"/>
    <s v="KM0"/>
    <s v="2025-11-07"/>
    <n v="2025"/>
    <n v="200464"/>
    <s v="200.464"/>
    <s v="3–4 min"/>
    <n v="60"/>
    <s v="Media"/>
    <b v="0"/>
    <d v="2026-07-24T09:20:19"/>
    <n v="2026"/>
  </r>
  <r>
    <s v="La vida que nos espera"/>
    <s v="Pablo Alborán"/>
    <x v="2"/>
    <s v="KM0"/>
    <s v="2025-11-07"/>
    <n v="2025"/>
    <n v="158476"/>
    <s v="158.476"/>
    <s v="2–3 min"/>
    <n v="51"/>
    <s v="Media"/>
    <b v="0"/>
    <d v="2026-07-24T09:20:19"/>
    <n v="2026"/>
  </r>
  <r>
    <s v="Mi talón de aquiles"/>
    <s v="Pablo Alborán"/>
    <x v="2"/>
    <s v="KM0"/>
    <s v="2025-11-07"/>
    <n v="2025"/>
    <n v="157407"/>
    <s v="157.407"/>
    <s v="2–3 min"/>
    <n v="46"/>
    <s v="Media"/>
    <b v="0"/>
    <d v="2026-07-24T09:20:19"/>
    <n v="2026"/>
  </r>
  <r>
    <s v="Copiloto"/>
    <s v="Pablo Alborán"/>
    <x v="2"/>
    <s v="KM0"/>
    <s v="2025-11-07"/>
    <n v="2025"/>
    <n v="135914"/>
    <s v="135.914"/>
    <s v="2–3 min"/>
    <n v="48"/>
    <s v="Media"/>
    <b v="0"/>
    <d v="2026-07-24T09:20:19"/>
    <n v="2026"/>
  </r>
  <r>
    <s v="Te invito"/>
    <s v="Pablo Alborán"/>
    <x v="2"/>
    <s v="KM0"/>
    <s v="2025-11-07"/>
    <n v="2025"/>
    <n v="124485"/>
    <s v="124.485"/>
    <s v="2–3 min"/>
    <n v="50"/>
    <s v="Media"/>
    <b v="0"/>
    <d v="2026-07-24T09:20:19"/>
    <n v="2026"/>
  </r>
  <r>
    <s v="Inciso"/>
    <s v="Pablo Alborán"/>
    <x v="2"/>
    <s v="KM0"/>
    <s v="2025-11-07"/>
    <n v="2025"/>
    <n v="234848"/>
    <s v="234.848"/>
    <s v="3–4 min"/>
    <n v="43"/>
    <s v="Media"/>
    <b v="0"/>
    <d v="2026-07-24T09:20:19"/>
    <n v="2026"/>
  </r>
  <r>
    <s v="Perfectos imperfectos"/>
    <s v="Pablo Alborán"/>
    <x v="2"/>
    <s v="KM0"/>
    <s v="2025-11-07"/>
    <n v="2025"/>
    <n v="216976"/>
    <s v="216.976"/>
    <s v="3–4 min"/>
    <n v="49"/>
    <s v="Media"/>
    <b v="0"/>
    <d v="2026-07-24T09:20:19"/>
    <n v="2026"/>
  </r>
  <r>
    <s v="Quimera - En directo"/>
    <s v="Pablo Alborán"/>
    <x v="2"/>
    <s v="Tour Terral (Tres noches en Las Ventas)"/>
    <s v="2015-11-06"/>
    <n v="2015"/>
    <n v="276228"/>
    <s v="276.228"/>
    <s v="4–5 min"/>
    <n v="33"/>
    <s v="Baja"/>
    <b v="0"/>
    <d v="2026-07-24T09:20:19"/>
    <n v="2026"/>
  </r>
  <r>
    <s v="Algo de mí"/>
    <s v="Pablo Alborán"/>
    <x v="2"/>
    <s v="Algo de mí"/>
    <s v="2026-02-27"/>
    <n v="2026"/>
    <n v="181914"/>
    <s v="181.914"/>
    <s v="3–4 min"/>
    <n v="64"/>
    <s v="Alta"/>
    <b v="0"/>
    <d v="2026-07-24T09:20:19"/>
    <n v="2026"/>
  </r>
  <r>
    <s v="Tiempos bonitos"/>
    <s v="Pablo Alborán"/>
    <x v="2"/>
    <s v="Tiempos bonitos"/>
    <s v="2026-07-10"/>
    <n v="2026"/>
    <n v="154088"/>
    <s v="154.088"/>
    <s v="2–3 min"/>
    <n v="64"/>
    <s v="Alta"/>
    <b v="0"/>
    <d v="2026-07-24T09:20:19"/>
    <n v="2026"/>
  </r>
  <r>
    <s v="La Boca Junta"/>
    <s v="Melendi, Mau y Ricky"/>
    <x v="0"/>
    <s v="La Boca Junta"/>
    <s v="2021-07-29"/>
    <n v="2021"/>
    <n v="227312"/>
    <s v="227.312"/>
    <s v="3–4 min"/>
    <n v="49"/>
    <s v="Media"/>
    <b v="0"/>
    <d v="2026-07-24T09:20:19"/>
    <n v="2026"/>
  </r>
  <r>
    <s v="El Único Habitante de tu Piel"/>
    <s v="Melendi, Carlos Rivera"/>
    <x v="0"/>
    <s v="Likes y Cicatrices"/>
    <s v="2021-11-05"/>
    <n v="2021"/>
    <n v="245120"/>
    <s v="245.12"/>
    <s v="4–5 min"/>
    <n v="59"/>
    <s v="Media"/>
    <b v="0"/>
    <d v="2026-07-24T09:20:19"/>
    <n v="2026"/>
  </r>
  <r>
    <s v="La Mudanza (feat. Pablo Alborán)"/>
    <s v="Niña Pastori, Pablo Alborán"/>
    <x v="3"/>
    <s v="Bajo Tus Alas"/>
    <s v="2018-04-27"/>
    <n v="2018"/>
    <n v="244614"/>
    <s v="244.614"/>
    <s v="4–5 min"/>
    <n v="41"/>
    <s v="Media"/>
    <b v="0"/>
    <d v="2026-07-24T09:20:19"/>
    <n v="2026"/>
  </r>
  <r>
    <s v="Déjala Que Baile (with Alejandro Sanz &amp; Arkano)"/>
    <s v="Melendi, Alejandro Sanz, Arkano"/>
    <x v="0"/>
    <s v="Ahora"/>
    <s v="2018-03-09"/>
    <n v="2018"/>
    <n v="219373"/>
    <s v="219.373"/>
    <s v="3–4 min"/>
    <n v="63"/>
    <s v="Alta"/>
    <b v="0"/>
    <d v="2026-07-24T09:20:19"/>
    <n v="2026"/>
  </r>
  <r>
    <s v="El Arrepentido"/>
    <s v="Melendi, Carlos Vives"/>
    <x v="0"/>
    <s v="Ahora"/>
    <s v="2018-03-09"/>
    <n v="2018"/>
    <n v="218533"/>
    <s v="218.533"/>
    <s v="3–4 min"/>
    <n v="54"/>
    <s v="Media"/>
    <b v="0"/>
    <d v="2026-07-24T09:20:19"/>
    <n v="2026"/>
  </r>
  <r>
    <s v="Ave de paso (con Ana Mena)"/>
    <s v="Pablo Alborán, Ana Mena"/>
    <x v="2"/>
    <s v="La cuarta hoja"/>
    <s v="2022-12-01"/>
    <n v="2022"/>
    <n v="216586"/>
    <s v="216.586"/>
    <s v="3–4 min"/>
    <n v="51"/>
    <s v="Media"/>
    <b v="0"/>
    <d v="2026-07-24T09:20:19"/>
    <n v="2026"/>
  </r>
  <r>
    <s v="Correcaminos"/>
    <s v="Alejandro Sanz, Danny Ocean"/>
    <x v="1"/>
    <s v="Correcaminos"/>
    <s v="2023-03-23"/>
    <n v="2023"/>
    <n v="182106"/>
    <s v="182.106"/>
    <s v="3–4 min"/>
    <n v="57"/>
    <s v="Media"/>
    <b v="1"/>
    <d v="2026-07-24T09:20:19"/>
    <n v="2026"/>
  </r>
  <r>
    <s v="El Ciego"/>
    <s v="Melendi, Cali Y El Dandee"/>
    <x v="0"/>
    <s v="El Ciego"/>
    <s v="2019-10-18"/>
    <n v="2019"/>
    <n v="170739"/>
    <s v="170.739"/>
    <s v="2–3 min"/>
    <n v="39"/>
    <s v="Baja"/>
    <b v="0"/>
    <d v="2026-07-24T09:20:19"/>
    <n v="2026"/>
  </r>
  <r>
    <s v="El Invisible (feat. Melendi) - Versión Acústica"/>
    <s v="Ricardo Arjona, Melendi"/>
    <x v="4"/>
    <s v="Covers, Demos y Otras Travesuras de Blanco"/>
    <s v="2021-02-12"/>
    <n v="2021"/>
    <n v="235065"/>
    <s v="235.065"/>
    <s v="3–4 min"/>
    <n v="0"/>
    <s v="Muy baja"/>
    <b v="0"/>
    <d v="2026-07-24T09:20:19"/>
    <n v="2026"/>
  </r>
  <r>
    <s v="Con La Luna Llena"/>
    <s v="Melendi, Manuel Carrasco"/>
    <x v="0"/>
    <s v="Con La Luna Llena"/>
    <s v="2023-09-08"/>
    <n v="2023"/>
    <n v="214914"/>
    <s v="214.914"/>
    <s v="3–4 min"/>
    <n v="54"/>
    <s v="Media"/>
    <b v="0"/>
    <d v="2026-07-24T09:20:19"/>
    <n v="2026"/>
  </r>
  <r>
    <s v="Sé lo Que Hicisteis (feat. Natos y Waor)"/>
    <s v="Melendi, Natos y Waor"/>
    <x v="0"/>
    <s v="20 Años Sin Noticias"/>
    <s v="2023-11-10"/>
    <n v="2023"/>
    <n v="209265"/>
    <s v="209.265"/>
    <s v="3–4 min"/>
    <n v="47"/>
    <s v="Media"/>
    <b v="0"/>
    <d v="2026-07-24T09:20:19"/>
    <n v="2026"/>
  </r>
  <r>
    <s v="Hablando En Plata"/>
    <s v="Melendi, Hens"/>
    <x v="0"/>
    <s v="20 Años Sin Noticias"/>
    <s v="2023-11-10"/>
    <n v="2023"/>
    <n v="188345"/>
    <s v="188.345"/>
    <s v="3–4 min"/>
    <n v="46"/>
    <s v="Media"/>
    <b v="0"/>
    <d v="2026-07-24T09:20:19"/>
    <n v="2026"/>
  </r>
  <r>
    <s v="Sin Noticias de Holanda"/>
    <s v="Melendi, Funzo &amp; Baby Loud"/>
    <x v="0"/>
    <s v="20 Años Sin Noticias"/>
    <s v="2023-11-10"/>
    <n v="2023"/>
    <n v="217032"/>
    <s v="217.032"/>
    <s v="3–4 min"/>
    <n v="48"/>
    <s v="Media"/>
    <b v="0"/>
    <d v="2026-07-24T09:20:19"/>
    <n v="2026"/>
  </r>
  <r>
    <s v="Un Recuerdo Que Olvidar"/>
    <s v="Melendi, Taburete"/>
    <x v="0"/>
    <s v="20 Años Sin Noticias"/>
    <s v="2023-11-10"/>
    <n v="2023"/>
    <n v="174416"/>
    <s v="174.416"/>
    <s v="2–3 min"/>
    <n v="49"/>
    <s v="Media"/>
    <b v="0"/>
    <d v="2026-07-24T09:20:19"/>
    <n v="2026"/>
  </r>
  <r>
    <s v="Mi Rumbita Pa´ Tus Pies"/>
    <s v="Melendi, Pole."/>
    <x v="0"/>
    <s v="20 Años Sin Noticias"/>
    <s v="2023-11-10"/>
    <n v="2023"/>
    <n v="199847"/>
    <s v="199.847"/>
    <s v="3–4 min"/>
    <n v="39"/>
    <s v="Baja"/>
    <b v="0"/>
    <d v="2026-07-24T09:20:19"/>
    <n v="2026"/>
  </r>
  <r>
    <s v="Hoy no me siento bien"/>
    <s v="Alejandro Sanz, Grupo Frontera"/>
    <x v="1"/>
    <s v="Hoy no me siento bien"/>
    <s v="2025-01-24"/>
    <n v="2025"/>
    <n v="153709"/>
    <s v="153.709"/>
    <s v="2–3 min"/>
    <n v="65"/>
    <s v="Alta"/>
    <b v="0"/>
    <d v="2026-07-24T09:20:19"/>
    <n v="2026"/>
  </r>
  <r>
    <s v="Cómo sería"/>
    <s v="Alejandro Sanz, Manuel Turizo"/>
    <x v="1"/>
    <s v="Cómo sería"/>
    <s v="2025-05-22"/>
    <n v="2025"/>
    <n v="194292"/>
    <s v="194.292"/>
    <s v="3–4 min"/>
    <n v="58"/>
    <s v="Media"/>
    <b v="0"/>
    <d v="2026-07-24T09:20:19"/>
    <n v="2026"/>
  </r>
  <r>
    <s v="Vámonos de aquí"/>
    <s v="Pablo Alborán, Indiara Sfair"/>
    <x v="2"/>
    <s v="Vámonos de aquí"/>
    <s v="2025-08-29"/>
    <n v="2025"/>
    <n v="152163"/>
    <s v="152.163"/>
    <s v="2–3 min"/>
    <n v="55"/>
    <s v="Media"/>
    <b v="0"/>
    <d v="2026-07-24T09:20:19"/>
    <n v="2026"/>
  </r>
  <r>
    <s v="¿Qué tal te va? (feat. Luan Santana) - Versión en portugués"/>
    <s v="Pablo Alborán, Luan Santana"/>
    <x v="2"/>
    <s v="¿Qué tal te va? (feat. Luan Santana)"/>
    <s v="2025-10-02"/>
    <n v="2025"/>
    <n v="192038"/>
    <s v="192.038"/>
    <s v="3–4 min"/>
    <n v="42"/>
    <s v="Media"/>
    <b v="0"/>
    <d v="2026-07-24T09:20:19"/>
    <n v="2026"/>
  </r>
  <r>
    <s v="Planta 7 (feat. Vicente Amigo)"/>
    <s v="Pablo Alborán, Vicente Amigo"/>
    <x v="2"/>
    <s v="KM0"/>
    <s v="2025-11-07"/>
    <n v="2025"/>
    <n v="549177"/>
    <s v="549.177"/>
    <s v="Más de 5 min"/>
    <n v="49"/>
    <s v="Media"/>
    <b v="0"/>
    <d v="2026-07-24T09:20:19"/>
    <n v="2026"/>
  </r>
  <r>
    <s v="¿Qué tal te va? (feat. Luan Santana) - Versión en portugués"/>
    <s v="Pablo Alborán, Luan Santana"/>
    <x v="2"/>
    <s v="KM0"/>
    <s v="2025-11-07"/>
    <n v="2025"/>
    <n v="192038"/>
    <s v="192.038"/>
    <s v="3–4 min"/>
    <n v="44"/>
    <s v="Media"/>
    <b v="0"/>
    <d v="2026-07-24T09:20:19"/>
    <n v="2026"/>
  </r>
  <r>
    <s v="El Secreto De Las Tortugas (MN&amp;M Edition)"/>
    <s v="Maldita Nerea, Melendi"/>
    <x v="5"/>
    <s v="El Secreto De Las Tortugas (MN&amp;M Edition)"/>
    <s v="2025-11-07"/>
    <n v="2025"/>
    <n v="240882"/>
    <s v="240.882"/>
    <s v="4–5 min"/>
    <n v="48"/>
    <s v="Media"/>
    <b v="0"/>
    <d v="2026-07-24T09:20:19"/>
    <n v="2026"/>
  </r>
  <r>
    <s v="Looking for Paradise (feat. Alicia Keys)"/>
    <s v="Alejandro Sanz, Alicia Keys"/>
    <x v="1"/>
    <s v="Paraíso Express"/>
    <s v="2009-11-10"/>
    <n v="2009"/>
    <n v="270626"/>
    <s v="270.626"/>
    <s v="4–5 min"/>
    <n v="57"/>
    <s v="Media"/>
    <b v="0"/>
    <d v="2026-07-24T09:20:19"/>
    <n v="2026"/>
  </r>
  <r>
    <s v="Si Te Quedas (feat. Pablo Alborán)"/>
    <s v="Carla Morrison, Pablo Alborán"/>
    <x v="6"/>
    <s v="Si Te Quedas (feat. Pablo Alborán)"/>
    <s v="2025-12-04"/>
    <n v="2025"/>
    <n v="175748"/>
    <s v="175.748"/>
    <s v="2–3 min"/>
    <n v="60"/>
    <s v="Media"/>
    <b v="0"/>
    <d v="2026-07-24T09:20:19"/>
    <n v="2026"/>
  </r>
  <r>
    <s v="Dímelo"/>
    <s v="Melendi, Andy Clay"/>
    <x v="0"/>
    <s v="Dímelo"/>
    <s v="2019-08-22"/>
    <n v="2019"/>
    <n v="208908"/>
    <s v="208.908"/>
    <s v="3–4 min"/>
    <n v="34"/>
    <s v="Baja"/>
    <b v="0"/>
    <d v="2026-07-24T09:20:19"/>
    <n v="2026"/>
  </r>
  <r>
    <s v="Boca de hule - Acústico"/>
    <s v="Pablo Alborán"/>
    <x v="2"/>
    <s v="Prometo (Edición especial)"/>
    <s v="2018-11-30"/>
    <n v="2018"/>
    <n v="221946"/>
    <s v="221.946"/>
    <s v="3–4 min"/>
    <n v="24"/>
    <s v="Baja"/>
    <b v="0"/>
    <d v="2022-09-30T09:56:18"/>
    <n v="2022"/>
  </r>
  <r>
    <s v="Recuérdame - Nueva versión"/>
    <s v="Pablo Alborán"/>
    <x v="2"/>
    <s v="Terral"/>
    <s v="2016-06-10"/>
    <n v="2016"/>
    <n v="292912"/>
    <s v="292.912"/>
    <s v="4–5 min"/>
    <n v="51"/>
    <s v="Media"/>
    <b v="0"/>
    <d v="2022-09-30T09:56:18"/>
    <n v="2022"/>
  </r>
  <r>
    <s v="Desde Que Llegaste"/>
    <s v="Reyli Barba"/>
    <x v="7"/>
    <s v="Reyli En La Luna"/>
    <s v="2004-09-14"/>
    <n v="2004"/>
    <n v="213573"/>
    <s v="213.573"/>
    <s v="3–4 min"/>
    <n v="68"/>
    <s v="Alta"/>
    <b v="0"/>
    <d v="2022-09-30T09:56:18"/>
    <n v="2022"/>
  </r>
  <r>
    <s v="Tu refugio - Acústico"/>
    <s v="Pablo Alborán"/>
    <x v="2"/>
    <s v="Prometo (Edición especial)"/>
    <s v="2018-11-30"/>
    <n v="2018"/>
    <n v="309426"/>
    <s v="309.426"/>
    <s v="Más de 5 min"/>
    <n v="37"/>
    <s v="Baja"/>
    <b v="0"/>
    <d v="2022-09-30T09:56:18"/>
    <n v="2022"/>
  </r>
  <r>
    <s v="Perdóname"/>
    <s v="Ricky Martin"/>
    <x v="8"/>
    <s v="A Quien Quiera Escuchar (Deluxe Edition)"/>
    <s v="2015-02-10"/>
    <n v="2015"/>
    <n v="240653"/>
    <s v="240.653"/>
    <s v="4–5 min"/>
    <n v="45"/>
    <s v="Media"/>
    <b v="0"/>
    <d v="2022-09-30T09:56:18"/>
    <n v="2022"/>
  </r>
  <r>
    <s v="Curo tus labios - Acústico"/>
    <s v="Pablo Alborán"/>
    <x v="2"/>
    <s v="Prometo (Edición especial)"/>
    <s v="2018-11-30"/>
    <n v="2018"/>
    <n v="255909"/>
    <s v="255.909"/>
    <s v="4–5 min"/>
    <n v="29"/>
    <s v="Baja"/>
    <b v="0"/>
    <d v="2022-09-30T09:56:18"/>
    <n v="2022"/>
  </r>
  <r>
    <s v="Sin miedo a nada (feat. Amaia Montero)"/>
    <s v="Alex Ubago, Amaia Montero"/>
    <x v="9"/>
    <s v="¿Qué pides tú? (Argentina)"/>
    <s v="2002-11-15"/>
    <n v="2002"/>
    <n v="310866"/>
    <s v="310.866"/>
    <s v="Más de 5 min"/>
    <n v="66"/>
    <s v="Alta"/>
    <b v="0"/>
    <d v="2022-09-30T09:56:18"/>
    <n v="2022"/>
  </r>
  <r>
    <s v="Aunque no te pueda ver"/>
    <s v="Alex Ubago"/>
    <x v="9"/>
    <s v="Fantasía o realidad"/>
    <s v="2003-11-24"/>
    <n v="2003"/>
    <n v="266666"/>
    <s v="266.666"/>
    <s v="4–5 min"/>
    <n v="76"/>
    <s v="Alta"/>
    <b v="0"/>
    <d v="2022-09-30T09:56:18"/>
    <n v="2022"/>
  </r>
  <r>
    <s v="Estar contigo"/>
    <s v="Alex Ubago"/>
    <x v="9"/>
    <s v="Mentiras sinceras"/>
    <s v="2012-12-04"/>
    <n v="2012"/>
    <n v="232280"/>
    <s v="232.28"/>
    <s v="3–4 min"/>
    <n v="64"/>
    <s v="Alta"/>
    <b v="0"/>
    <d v="2022-09-30T09:56:18"/>
    <n v="2022"/>
  </r>
  <r>
    <s v="Rayando el Sol (feat. Pablo Alborán)"/>
    <s v="Maná, Pablo Alborán"/>
    <x v="10"/>
    <s v="Rayando el Sol (feat. Pablo Alborán)"/>
    <s v="2019-04-12"/>
    <n v="2019"/>
    <n v="258937"/>
    <s v="258.937"/>
    <s v="4–5 min"/>
    <n v="62"/>
    <s v="Alta"/>
    <b v="0"/>
    <d v="2022-09-30T09:56:18"/>
    <n v="2022"/>
  </r>
  <r>
    <s v="Mujeres"/>
    <s v="Ricardo Arjona"/>
    <x v="4"/>
    <s v="Quién Dijo Ayer"/>
    <s v="1992"/>
    <n v="1992"/>
    <n v="207013"/>
    <s v="207.013"/>
    <s v="3–4 min"/>
    <n v="66"/>
    <s v="Alta"/>
    <b v="0"/>
    <d v="2022-09-30T09:56:18"/>
    <n v="2022"/>
  </r>
  <r>
    <s v="Tanto - Acústico"/>
    <s v="Pablo Alborán"/>
    <x v="2"/>
    <s v="Tanto (Edición Premium)"/>
    <s v="2012"/>
    <n v="2012"/>
    <n v="259106"/>
    <s v="259.106"/>
    <s v="4–5 min"/>
    <n v="38"/>
    <s v="Baja"/>
    <b v="0"/>
    <d v="2022-09-30T09:56:18"/>
    <n v="2022"/>
  </r>
  <r>
    <s v="Me Enamoré de Ti"/>
    <s v="Chayanne"/>
    <x v="11"/>
    <s v="No Hay Imposibles"/>
    <s v="2010-02-23"/>
    <n v="2010"/>
    <n v="263666"/>
    <s v="263.666"/>
    <s v="4–5 min"/>
    <n v="69"/>
    <s v="Alta"/>
    <b v="0"/>
    <d v="2022-09-30T09:56:18"/>
    <n v="2022"/>
  </r>
  <r>
    <s v="Contigo Siempre"/>
    <s v="Alejandro Fernández, Sebastian Yatra"/>
    <x v="12"/>
    <s v="Contigo Siempre"/>
    <s v="2018-08-31"/>
    <n v="2018"/>
    <n v="201440"/>
    <s v="201.44"/>
    <s v="3–4 min"/>
    <n v="54"/>
    <s v="Media"/>
    <b v="0"/>
    <d v="2022-09-30T09:56:18"/>
    <n v="2022"/>
  </r>
  <r>
    <s v="Cosas Del Amor"/>
    <s v="Enrique Iglesias"/>
    <x v="13"/>
    <s v="Cosas Del Amor"/>
    <s v="1998-09-22"/>
    <n v="1998"/>
    <n v="267280"/>
    <s v="267.28"/>
    <s v="4–5 min"/>
    <n v="50"/>
    <s v="Media"/>
    <b v="0"/>
    <d v="2022-09-30T09:56:18"/>
    <n v="2022"/>
  </r>
  <r>
    <s v="Alguien Como Tú"/>
    <s v="Enrique Iglesias"/>
    <x v="13"/>
    <s v="Cosas Del Amor"/>
    <s v="1998-09-22"/>
    <n v="1998"/>
    <n v="288000"/>
    <s v="288"/>
    <s v="4–5 min"/>
    <n v="37"/>
    <s v="Baja"/>
    <b v="0"/>
    <d v="2022-09-30T09:56:18"/>
    <n v="2022"/>
  </r>
  <r>
    <s v="Desnudo"/>
    <s v="Enrique Iglesias"/>
    <x v="13"/>
    <s v="Cosas Del Amor"/>
    <s v="1998-09-22"/>
    <n v="1998"/>
    <n v="337133"/>
    <s v="337.133"/>
    <s v="Más de 5 min"/>
    <n v="38"/>
    <s v="Baja"/>
    <b v="0"/>
    <d v="2022-09-30T09:56:18"/>
    <n v="2022"/>
  </r>
  <r>
    <s v="Contigo"/>
    <s v="Enrique Iglesias"/>
    <x v="13"/>
    <s v="Cosas Del Amor"/>
    <s v="1998-09-22"/>
    <n v="1998"/>
    <n v="316600"/>
    <s v="316.6"/>
    <s v="Más de 5 min"/>
    <n v="50"/>
    <s v="Media"/>
    <b v="0"/>
    <d v="2022-09-30T09:56:18"/>
    <n v="2022"/>
  </r>
  <r>
    <s v="Nunca Te Olvidaré"/>
    <s v="Enrique Iglesias"/>
    <x v="13"/>
    <s v="Cosas Del Amor"/>
    <s v="1998-09-22"/>
    <n v="1998"/>
    <n v="264160"/>
    <s v="264.16"/>
    <s v="4–5 min"/>
    <n v="68"/>
    <s v="Alta"/>
    <b v="0"/>
    <d v="2022-09-30T09:56:18"/>
    <n v="2022"/>
  </r>
  <r>
    <s v="Candela"/>
    <s v="Chayanne"/>
    <x v="11"/>
    <s v="Simplemente"/>
    <s v="2000-11-28"/>
    <n v="2000"/>
    <n v="236653"/>
    <s v="236.653"/>
    <s v="3–4 min"/>
    <n v="51"/>
    <s v="Media"/>
    <b v="0"/>
    <d v="2022-09-30T09:56:18"/>
    <n v="2022"/>
  </r>
  <r>
    <s v="Prometo - Versión piano y cuerda"/>
    <s v="Pablo Alborán"/>
    <x v="2"/>
    <s v="Prometo (Versión piano y cuerda)"/>
    <s v="2017-10-12"/>
    <n v="2017"/>
    <n v="332120"/>
    <s v="332.12"/>
    <s v="Más de 5 min"/>
    <n v="33"/>
    <s v="Baja"/>
    <b v="0"/>
    <d v="2022-09-30T09:56:18"/>
    <n v="2022"/>
  </r>
  <r>
    <s v="Entra en Mi Vida"/>
    <s v="Sin Bandera"/>
    <x v="14"/>
    <s v="Hasta Ahora"/>
    <s v="2007-11-13"/>
    <n v="2007"/>
    <n v="249973"/>
    <s v="249.973"/>
    <s v="4–5 min"/>
    <n v="64"/>
    <s v="Alta"/>
    <b v="0"/>
    <d v="2022-09-30T09:56:18"/>
    <n v="2022"/>
  </r>
  <r>
    <s v="En Ésta No"/>
    <s v="Sin Bandera"/>
    <x v="14"/>
    <s v="Una Última Vez (Delux Edition)"/>
    <s v="2016-06-10"/>
    <n v="2016"/>
    <n v="233346"/>
    <s v="233.346"/>
    <s v="3–4 min"/>
    <n v="68"/>
    <s v="Alta"/>
    <b v="0"/>
    <d v="2022-09-30T09:56:18"/>
    <n v="2022"/>
  </r>
  <r>
    <s v="Y Tu Sombra"/>
    <s v="Gaby Moreno"/>
    <x v="15"/>
    <s v="Illustrated Songs"/>
    <s v="2011-04-05"/>
    <n v="2011"/>
    <n v="170839"/>
    <s v="170.839"/>
    <s v="2–3 min"/>
    <n v="24"/>
    <s v="Baja"/>
    <b v="0"/>
    <d v="2022-09-30T09:56:18"/>
    <n v="2022"/>
  </r>
  <r>
    <s v="Dueles"/>
    <s v="Jesse &amp; Joy"/>
    <x v="16"/>
    <s v="Un Besito Más"/>
    <s v="2015-12-04"/>
    <n v="2015"/>
    <n v="247640"/>
    <s v="247.64"/>
    <s v="4–5 min"/>
    <n v="81"/>
    <s v="Muy alta"/>
    <b v="0"/>
    <d v="2022-09-30T09:56:18"/>
    <n v="2022"/>
  </r>
  <r>
    <s v="Dígale"/>
    <s v="David Bisbal"/>
    <x v="17"/>
    <s v="Corazón Latino"/>
    <s v="2002-10-15"/>
    <n v="2002"/>
    <n v="262440"/>
    <s v="262.44"/>
    <s v="4–5 min"/>
    <n v="77"/>
    <s v="Alta"/>
    <b v="0"/>
    <d v="2022-09-30T09:56:18"/>
    <n v="2022"/>
  </r>
  <r>
    <s v="Fuiste Tú (feat. Gaby Moreno)"/>
    <s v="Ricardo Arjona, Gaby Moreno"/>
    <x v="4"/>
    <s v="Independiente + Demos"/>
    <s v="2011"/>
    <n v="2011"/>
    <n v="265306"/>
    <s v="265.306"/>
    <s v="4–5 min"/>
    <n v="4"/>
    <s v="Muy baja"/>
    <b v="0"/>
    <d v="2022-09-30T09:56:18"/>
    <n v="2022"/>
  </r>
  <r>
    <s v="Me Dediqué a Perderte"/>
    <s v="Alejandro Fernández"/>
    <x v="12"/>
    <s v="A Corazón Abierto"/>
    <s v="2004-09-01"/>
    <n v="2004"/>
    <n v="231773"/>
    <s v="231.773"/>
    <s v="3–4 min"/>
    <n v="83"/>
    <s v="Muy alta"/>
    <b v="0"/>
    <d v="2022-09-30T09:56:18"/>
    <n v="2022"/>
  </r>
  <r>
    <s v="Tú de Qué Vas"/>
    <s v="Franco De Vita"/>
    <x v="18"/>
    <s v="Stop"/>
    <s v="2004-04-28"/>
    <n v="2004"/>
    <n v="238160"/>
    <s v="238.16"/>
    <s v="3–4 min"/>
    <n v="80"/>
    <s v="Alta"/>
    <b v="0"/>
    <d v="2022-09-30T09:56:18"/>
    <n v="2022"/>
  </r>
  <r>
    <s v="Tu Recuerdo (feat. Chambao &amp; Tommy Torres) - MTV Unplugged Version"/>
    <s v="Ricky Martin, Chambao, Tommy Torres"/>
    <x v="8"/>
    <s v="Ricky Martin MTV Unplugged"/>
    <s v="2006-10-13"/>
    <n v="2006"/>
    <n v="247866"/>
    <s v="247.866"/>
    <s v="4–5 min"/>
    <n v="67"/>
    <s v="Alta"/>
    <b v="0"/>
    <d v="2022-09-30T09:56:18"/>
    <n v="2022"/>
  </r>
  <r>
    <s v="Si la Ves (feat. Sin Bandera)"/>
    <s v="Franco De Vita, Sin Bandera"/>
    <x v="18"/>
    <s v="Stop"/>
    <s v="2004-04-28"/>
    <n v="2004"/>
    <n v="248000"/>
    <s v="248"/>
    <s v="4–5 min"/>
    <n v="71"/>
    <s v="Alta"/>
    <b v="0"/>
    <d v="2022-09-30T09:56:18"/>
    <n v="2022"/>
  </r>
  <r>
    <s v="Mientes Tan Bien"/>
    <s v="Sin Bandera"/>
    <x v="14"/>
    <s v="De Viaje"/>
    <s v="2003-10-01"/>
    <n v="2003"/>
    <n v="227613"/>
    <s v="227.613"/>
    <s v="3–4 min"/>
    <n v="79"/>
    <s v="Alta"/>
    <b v="0"/>
    <d v="2022-09-30T09:56:18"/>
    <n v="2022"/>
  </r>
  <r>
    <s v="Amores extraños - Versión 2001"/>
    <s v="Laura Pausini"/>
    <x v="19"/>
    <s v="Lo mejor de Laura Pausini - Volveré junto a ti"/>
    <s v="2001-10-08"/>
    <n v="2001"/>
    <n v="257440"/>
    <s v="257.44"/>
    <s v="4–5 min"/>
    <n v="63"/>
    <s v="Alta"/>
    <b v="0"/>
    <d v="2022-09-30T09:56:18"/>
    <n v="2022"/>
  </r>
  <r>
    <s v="Pingüinos en la Cama"/>
    <s v="Ricardo Arjona"/>
    <x v="4"/>
    <s v="Adentro"/>
    <s v="2005"/>
    <n v="2005"/>
    <n v="228106"/>
    <s v="228.106"/>
    <s v="3–4 min"/>
    <n v="1"/>
    <s v="Muy baja"/>
    <b v="0"/>
    <d v="2022-09-30T09:56:18"/>
    <n v="2022"/>
  </r>
  <r>
    <s v="Te Extraño, Te Olvido, Te Amo"/>
    <s v="Ricky Martin"/>
    <x v="8"/>
    <s v="A Medio Vivir"/>
    <s v="1995-09-12"/>
    <n v="1995"/>
    <n v="279000"/>
    <s v="279"/>
    <s v="4–5 min"/>
    <n v="68"/>
    <s v="Alta"/>
    <b v="0"/>
    <d v="2022-09-30T09:56:18"/>
    <n v="2022"/>
  </r>
  <r>
    <s v="Si Tú No Estás"/>
    <s v="Sin Bandera"/>
    <x v="14"/>
    <s v="Pasado"/>
    <s v="2006"/>
    <n v="2006"/>
    <n v="225760"/>
    <s v="225.76"/>
    <s v="3–4 min"/>
    <n v="64"/>
    <s v="Alta"/>
    <b v="0"/>
    <d v="2022-09-30T09:56:18"/>
    <n v="2022"/>
  </r>
  <r>
    <s v="El Amor De Mi Vida"/>
    <s v="Ricky Martin"/>
    <x v="8"/>
    <s v="17"/>
    <s v="2011-02-23"/>
    <n v="2011"/>
    <n v="237373"/>
    <s v="237.373"/>
    <s v="3–4 min"/>
    <n v="50"/>
    <s v="Media"/>
    <b v="0"/>
    <d v="2022-09-30T09:56:18"/>
    <n v="2022"/>
  </r>
  <r>
    <s v="Lo nuestro - Acústico"/>
    <s v="Pablo Alborán"/>
    <x v="2"/>
    <s v="Prometo (Edición especial)"/>
    <s v="2018-11-30"/>
    <n v="2018"/>
    <n v="305013"/>
    <s v="305.013"/>
    <s v="Más de 5 min"/>
    <n v="29"/>
    <s v="Baja"/>
    <b v="0"/>
    <d v="2022-09-30T09:56:18"/>
    <n v="2022"/>
  </r>
  <r>
    <s v="Por Amarte"/>
    <s v="Enrique Iglesias"/>
    <x v="13"/>
    <s v="Enrique Iglesias"/>
    <s v="1995-11-23"/>
    <n v="1995"/>
    <n v="244026"/>
    <s v="244.026"/>
    <s v="4–5 min"/>
    <n v="69"/>
    <s v="Alta"/>
    <b v="0"/>
    <d v="2022-09-30T09:56:18"/>
    <n v="2022"/>
  </r>
  <r>
    <s v="Dejaría Todo"/>
    <s v="Chayanne"/>
    <x v="11"/>
    <s v="Atado a Tu Amor"/>
    <s v="1998-09-29"/>
    <n v="1998"/>
    <n v="284466"/>
    <s v="284.466"/>
    <s v="4–5 min"/>
    <n v="72"/>
    <s v="Alta"/>
    <b v="0"/>
    <d v="2022-09-30T09:56:18"/>
    <n v="2022"/>
  </r>
  <r>
    <s v="Por fin"/>
    <s v="Pablo Alborán"/>
    <x v="2"/>
    <s v="Terral (Version Française)"/>
    <s v="2014"/>
    <n v="2014"/>
    <n v="241013"/>
    <s v="241.013"/>
    <s v="4–5 min"/>
    <n v="25"/>
    <s v="Baja"/>
    <b v="0"/>
    <d v="2022-09-30T09:56:18"/>
    <n v="2022"/>
  </r>
  <r>
    <s v="Recuerdo"/>
    <s v="Ricky Martin, Carla Morrison"/>
    <x v="8"/>
    <s v="PAUSA"/>
    <s v="2020-05-28"/>
    <n v="2020"/>
    <n v="232331"/>
    <s v="232.331"/>
    <s v="3–4 min"/>
    <n v="53"/>
    <s v="Media"/>
    <b v="0"/>
    <d v="2022-09-30T09:56:18"/>
    <n v="2022"/>
  </r>
  <r>
    <s v="La Chica de Humo"/>
    <s v="Emmanuel"/>
    <x v="20"/>
    <s v="Quisiera"/>
    <s v="1989-03-19"/>
    <n v="1989"/>
    <n v="331360"/>
    <s v="331.36"/>
    <s v="Más de 5 min"/>
    <n v="76"/>
    <s v="Alta"/>
    <b v="0"/>
    <d v="2022-09-30T09:56:18"/>
    <n v="2022"/>
  </r>
  <r>
    <s v="La Playa"/>
    <s v="La Oreja de Van Gogh"/>
    <x v="21"/>
    <s v="El Viaje de Copperpot"/>
    <s v="2000-09-07"/>
    <n v="2000"/>
    <n v="247693"/>
    <s v="247.693"/>
    <s v="4–5 min"/>
    <n v="81"/>
    <s v="Muy alta"/>
    <b v="0"/>
    <d v="2022-09-30T09:56:18"/>
    <n v="2022"/>
  </r>
  <r>
    <s v="A Que No Me Dejas"/>
    <s v="Alejandro Sanz, Alejandro Fernández"/>
    <x v="1"/>
    <s v="A Que No Me Dejas"/>
    <s v="2015-07-10"/>
    <n v="2015"/>
    <n v="321323"/>
    <s v="321.323"/>
    <s v="Más de 5 min"/>
    <n v="51"/>
    <s v="Media"/>
    <b v="0"/>
    <d v="2022-09-30T09:56:18"/>
    <n v="2022"/>
  </r>
  <r>
    <s v="Víveme (with Alejandro Sanz 2013)"/>
    <s v="Laura Pausini, Alejandro Sanz"/>
    <x v="19"/>
    <s v="20 Grandes Exitos (Latin America)"/>
    <s v="2013-11-12"/>
    <n v="2013"/>
    <n v="234938"/>
    <s v="234.938"/>
    <s v="3–4 min"/>
    <n v="48"/>
    <s v="Media"/>
    <b v="0"/>
    <d v="2022-09-30T09:56:18"/>
    <n v="2022"/>
  </r>
  <r>
    <s v="Entre tú y mil mares (with Melendi)"/>
    <s v="Laura Pausini, Melendi"/>
    <x v="19"/>
    <s v="20 Grandes Exitos (New Edition 2014)"/>
    <s v="2013-11-12"/>
    <n v="2013"/>
    <n v="265904"/>
    <s v="265.904"/>
    <s v="4–5 min"/>
    <n v="36"/>
    <s v="Baja"/>
    <b v="0"/>
    <d v="2022-09-30T09:56:18"/>
    <n v="2022"/>
  </r>
  <r>
    <s v="Humanos a Marte"/>
    <s v="Chayanne"/>
    <x v="11"/>
    <s v="En Todo Estaré (Deluxe Edition)"/>
    <s v="2014-08-25"/>
    <n v="2014"/>
    <n v="225985"/>
    <s v="225.985"/>
    <s v="3–4 min"/>
    <n v="72"/>
    <s v="Alta"/>
    <b v="0"/>
    <d v="2022-09-30T09:56:18"/>
    <n v="2022"/>
  </r>
  <r>
    <s v="Atado a Tu Amor"/>
    <s v="Chayanne"/>
    <x v="11"/>
    <s v="Atado a Tu Amor"/>
    <s v="1998-09-29"/>
    <n v="1998"/>
    <n v="302773"/>
    <s v="302.773"/>
    <s v="Más de 5 min"/>
    <n v="62"/>
    <s v="Alta"/>
    <b v="0"/>
    <d v="2022-09-30T09:56:18"/>
    <n v="2022"/>
  </r>
  <r>
    <s v="Jueves"/>
    <s v="La Oreja de Van Gogh"/>
    <x v="21"/>
    <s v="A las Cinco en el Astoria"/>
    <s v="2008-09-30"/>
    <n v="2008"/>
    <n v="239240"/>
    <s v="239.24"/>
    <s v="3–4 min"/>
    <n v="72"/>
    <s v="Alta"/>
    <b v="0"/>
    <d v="2022-09-30T09:56:18"/>
    <n v="2022"/>
  </r>
  <r>
    <s v="Te Esperé"/>
    <s v="Jesse &amp; Joy, Jesse"/>
    <x v="16"/>
    <s v="Aire (Versión Día)"/>
    <s v="2020-05-08"/>
    <n v="2020"/>
    <n v="216000"/>
    <s v="216"/>
    <s v="3–4 min"/>
    <n v="76"/>
    <s v="Alta"/>
    <b v="0"/>
    <d v="2022-09-30T09:56:18"/>
    <n v="2022"/>
  </r>
  <r>
    <s v="Mi Persona Favorita"/>
    <s v="Río Roma"/>
    <x v="22"/>
    <s v="Otra Vida"/>
    <s v="2014-03-18"/>
    <n v="2014"/>
    <n v="190480"/>
    <s v="190.48"/>
    <s v="3–4 min"/>
    <n v="68"/>
    <s v="Alta"/>
    <b v="0"/>
    <d v="2022-09-30T09:56:18"/>
    <n v="2022"/>
  </r>
  <r>
    <s v="No soy una de esas (feat. Alejandro Sanz)"/>
    <s v="Jesse &amp; Joy, Alejandro Sanz"/>
    <x v="16"/>
    <s v="Un Besito Más"/>
    <s v="2015-12-04"/>
    <n v="2015"/>
    <n v="210733"/>
    <s v="210.733"/>
    <s v="3–4 min"/>
    <n v="67"/>
    <s v="Alta"/>
    <b v="0"/>
    <d v="2022-09-30T09:56:18"/>
    <n v="2022"/>
  </r>
  <r>
    <s v="Niña"/>
    <s v="Reik"/>
    <x v="23"/>
    <s v="Reik"/>
    <s v="2005-05-24"/>
    <n v="2005"/>
    <n v="171426"/>
    <s v="171.426"/>
    <s v="2–3 min"/>
    <n v="25"/>
    <s v="Baja"/>
    <b v="0"/>
    <d v="2022-09-30T09:56:18"/>
    <n v="2022"/>
  </r>
  <r>
    <s v="Rosas"/>
    <s v="La Oreja de Van Gogh"/>
    <x v="21"/>
    <s v="Lo Que Te Conte Mientras Te Hacias La Dormida"/>
    <s v="2003"/>
    <n v="2003"/>
    <n v="236506"/>
    <s v="236.506"/>
    <s v="3–4 min"/>
    <n v="83"/>
    <s v="Muy alta"/>
    <b v="0"/>
    <d v="2022-09-30T09:56:18"/>
    <n v="2022"/>
  </r>
  <r>
    <s v="Yo Quisiera"/>
    <s v="Reik"/>
    <x v="23"/>
    <s v="Reik"/>
    <s v="2005-05-24"/>
    <n v="2005"/>
    <n v="217986"/>
    <s v="217.986"/>
    <s v="3–4 min"/>
    <n v="50"/>
    <s v="Media"/>
    <b v="0"/>
    <d v="2022-09-30T09:56:18"/>
    <n v="2022"/>
  </r>
  <r>
    <s v="Quién - Versión ambiental"/>
    <s v="Pablo Alborán"/>
    <x v="2"/>
    <s v="Tanto (Edición Premium)"/>
    <s v="2012"/>
    <n v="2012"/>
    <n v="228253"/>
    <s v="228.253"/>
    <s v="3–4 min"/>
    <n v="32"/>
    <s v="Baja"/>
    <b v="0"/>
    <d v="2022-09-30T09:56:18"/>
    <n v="2022"/>
  </r>
  <r>
    <s v="Hoy Tengo Ganas De Ti"/>
    <s v="Alejandro Fernández, Christina Aguilera"/>
    <x v="12"/>
    <s v="Confidencias"/>
    <s v="2013-01-01"/>
    <n v="2013"/>
    <n v="291106"/>
    <s v="291.106"/>
    <s v="4–5 min"/>
    <n v="74"/>
    <s v="Alta"/>
    <b v="0"/>
    <d v="2022-09-30T09:56:18"/>
    <n v="2022"/>
  </r>
  <r>
    <s v="Sin Conocerte"/>
    <s v="Reik"/>
    <x v="23"/>
    <s v="Secuencia"/>
    <s v="2006-11-14"/>
    <n v="2006"/>
    <n v="195573"/>
    <s v="195.573"/>
    <s v="3–4 min"/>
    <n v="34"/>
    <s v="Baja"/>
    <b v="0"/>
    <d v="2022-09-30T09:56:18"/>
    <n v="2022"/>
  </r>
  <r>
    <s v="Dímelo"/>
    <s v="Enrique Iglesias"/>
    <x v="13"/>
    <s v="Insomniac (Deluxe Edition)"/>
    <s v="2007"/>
    <n v="2007"/>
    <n v="217933"/>
    <s v="217.933"/>
    <s v="3–4 min"/>
    <n v="60"/>
    <s v="Media"/>
    <b v="0"/>
    <d v="2022-09-30T09:56:18"/>
    <n v="2022"/>
  </r>
  <r>
    <s v="Te Conozco"/>
    <s v="Ricardo Arjona"/>
    <x v="4"/>
    <s v="Sólo Para Mujeres"/>
    <s v="2013-01-21"/>
    <n v="2013"/>
    <n v="246440"/>
    <s v="246.44"/>
    <s v="4–5 min"/>
    <n v="59"/>
    <s v="Media"/>
    <b v="0"/>
    <d v="2022-09-30T09:56:18"/>
    <n v="2022"/>
  </r>
  <r>
    <s v="Tan Sólo Tú (feat. Alejandra Guzmán) - Franco De Vita en Primera Fila"/>
    <s v="Franco De Vita, Alejandra Guzman"/>
    <x v="18"/>
    <s v="Franco De Vita En Primera Fila"/>
    <s v="2011-05-30"/>
    <n v="2011"/>
    <n v="237720"/>
    <s v="237.72"/>
    <s v="3–4 min"/>
    <n v="68"/>
    <s v="Alta"/>
    <b v="0"/>
    <d v="2022-09-30T09:56:18"/>
    <n v="2022"/>
  </r>
  <r>
    <s v="Abrázame"/>
    <s v="Camila"/>
    <x v="24"/>
    <s v="Todo Cambio"/>
    <s v="2006"/>
    <n v="2006"/>
    <n v="230720"/>
    <s v="230.72"/>
    <s v="3–4 min"/>
    <n v="69"/>
    <s v="Alta"/>
    <b v="0"/>
    <d v="2022-09-30T09:56:18"/>
    <n v="2022"/>
  </r>
  <r>
    <s v="La de la mala suerte (feat. Pablo Alborán)"/>
    <s v="Jesse &amp; Joy, Pablo Alborán"/>
    <x v="16"/>
    <s v="¿Con quién se queda el perro? (Spain Standard)"/>
    <s v="2011-12-06"/>
    <n v="2011"/>
    <n v="248499"/>
    <s v="248.499"/>
    <s v="4–5 min"/>
    <n v="53"/>
    <s v="Media"/>
    <b v="0"/>
    <d v="2022-09-30T09:56:18"/>
    <n v="2022"/>
  </r>
  <r>
    <s v="Enamorado Por Primera Vez"/>
    <s v="Enrique Iglesias"/>
    <x v="13"/>
    <s v="Vivir"/>
    <s v="1997-01-21"/>
    <n v="1997"/>
    <n v="268773"/>
    <s v="268.773"/>
    <s v="4–5 min"/>
    <n v="61"/>
    <s v="Alta"/>
    <b v="0"/>
    <d v="2022-09-30T09:56:18"/>
    <n v="2022"/>
  </r>
  <r>
    <s v="Ruleta Rusa"/>
    <s v="Enrique Iglesias"/>
    <x v="13"/>
    <s v="Cosas Del Amor"/>
    <s v="1998-09-22"/>
    <n v="1998"/>
    <n v="253480"/>
    <s v="253.48"/>
    <s v="4–5 min"/>
    <n v="39"/>
    <s v="Baja"/>
    <b v="0"/>
    <d v="2022-09-30T09:56:18"/>
    <n v="2022"/>
  </r>
  <r>
    <s v="Dicen Por Ahi"/>
    <s v="Enrique Iglesias"/>
    <x v="13"/>
    <s v="Cosas Del Amor"/>
    <s v="1998-09-22"/>
    <n v="1998"/>
    <n v="228026"/>
    <s v="228.026"/>
    <s v="3–4 min"/>
    <n v="35"/>
    <s v="Baja"/>
    <b v="0"/>
    <d v="2022-09-30T09:56:18"/>
    <n v="2022"/>
  </r>
  <r>
    <s v="Asignatura Pendiente"/>
    <s v="Ricky Martin"/>
    <x v="8"/>
    <s v="17"/>
    <s v="2011-02-23"/>
    <n v="2011"/>
    <n v="238000"/>
    <s v="238"/>
    <s v="3–4 min"/>
    <n v="45"/>
    <s v="Media"/>
    <b v="0"/>
    <d v="2022-09-30T09:56:18"/>
    <n v="2022"/>
  </r>
  <r>
    <s v="Tu Respiración"/>
    <s v="Chayanne"/>
    <x v="11"/>
    <s v="En Todo Estaré (Deluxe Edition)"/>
    <s v="2014-08-25"/>
    <n v="2014"/>
    <n v="250866"/>
    <s v="250.866"/>
    <s v="4–5 min"/>
    <n v="55"/>
    <s v="Media"/>
    <b v="0"/>
    <d v="2022-09-30T09:56:18"/>
    <n v="2022"/>
  </r>
  <r>
    <s v="Esta Ausencia"/>
    <s v="David Bisbal"/>
    <x v="17"/>
    <s v="Bulería"/>
    <s v="2004-01-01"/>
    <n v="2004"/>
    <n v="275280"/>
    <s v="275.28"/>
    <s v="4–5 min"/>
    <n v="65"/>
    <s v="Alta"/>
    <b v="0"/>
    <d v="2022-09-30T09:56:18"/>
    <n v="2022"/>
  </r>
  <r>
    <s v="Llueve sobre mojado"/>
    <s v="Pablo Alborán, Aitana, Álvaro De Luna"/>
    <x v="2"/>
    <s v="Llueve sobre mojado"/>
    <s v="2021-10-15"/>
    <n v="2021"/>
    <n v="228783"/>
    <s v="228.783"/>
    <s v="3–4 min"/>
    <n v="57"/>
    <s v="Media"/>
    <b v="0"/>
    <d v="2022-09-30T09:56:18"/>
    <n v="2022"/>
  </r>
  <r>
    <s v="Disparo al Corazón"/>
    <s v="Ricky Martin"/>
    <x v="8"/>
    <s v="A Quien Quiera Escuchar (Deluxe Edition)"/>
    <s v="2015-02-10"/>
    <n v="2015"/>
    <n v="230346"/>
    <s v="230.346"/>
    <s v="3–4 min"/>
    <n v="60"/>
    <s v="Media"/>
    <b v="0"/>
    <d v="2022-09-30T09:56:18"/>
    <n v="2022"/>
  </r>
  <r>
    <s v="Dónde Están Corazón"/>
    <s v="Enrique Iglesias"/>
    <x v="13"/>
    <s v="Greatest Hits"/>
    <s v="2019-10-04"/>
    <n v="2019"/>
    <n v="259613"/>
    <s v="259.613"/>
    <s v="4–5 min"/>
    <n v="70"/>
    <s v="Alta"/>
    <b v="0"/>
    <d v="2022-09-30T09:56:18"/>
    <n v="2022"/>
  </r>
  <r>
    <s v="Esperanza"/>
    <s v="Enrique Iglesias"/>
    <x v="13"/>
    <s v="Cosas Del Amor"/>
    <s v="1998"/>
    <n v="1998"/>
    <n v="189693"/>
    <s v="189.693"/>
    <s v="3–4 min"/>
    <n v="0"/>
    <s v="Muy baja"/>
    <b v="0"/>
    <d v="2022-09-30T09:56:18"/>
    <n v="2022"/>
  </r>
  <r>
    <s v="Desde el Principio"/>
    <s v="Franco De Vita"/>
    <x v="18"/>
    <s v="Libre"/>
    <s v="2016-10-14"/>
    <n v="2016"/>
    <n v="184133"/>
    <s v="184.133"/>
    <s v="3–4 min"/>
    <n v="31"/>
    <s v="Baja"/>
    <b v="0"/>
    <d v="2022-09-30T09:56:18"/>
    <n v="2022"/>
  </r>
  <r>
    <s v="Vuelvo a Verte (with Pablo Alborán)"/>
    <s v="Malú, Pablo Alborán"/>
    <x v="25"/>
    <s v="Dual"/>
    <s v="2012-11-19"/>
    <n v="2012"/>
    <n v="219400"/>
    <s v="219.4"/>
    <s v="3–4 min"/>
    <n v="54"/>
    <s v="Media"/>
    <b v="0"/>
    <d v="2022-09-30T09:56:18"/>
    <n v="2022"/>
  </r>
  <r>
    <s v="Mentiroso"/>
    <s v="Enrique Iglesias"/>
    <x v="13"/>
    <s v="Greatest Hits"/>
    <s v="2019-10-04"/>
    <n v="2019"/>
    <n v="235120"/>
    <s v="235.12"/>
    <s v="3–4 min"/>
    <n v="26"/>
    <s v="Baja"/>
    <b v="0"/>
    <d v="2022-09-30T09:56:18"/>
    <n v="2022"/>
  </r>
  <r>
    <s v="Blanco y Negro"/>
    <s v="Malú"/>
    <x v="25"/>
    <s v="Guerra Fria"/>
    <s v="2010-05-08"/>
    <n v="2010"/>
    <n v="233666"/>
    <s v="233.666"/>
    <s v="3–4 min"/>
    <n v="61"/>
    <s v="Alta"/>
    <b v="0"/>
    <d v="2022-09-30T09:56:18"/>
    <n v="2022"/>
  </r>
  <r>
    <s v="Ahora Tu"/>
    <s v="Malú"/>
    <x v="25"/>
    <s v="Esencial Malú"/>
    <s v="2013-07-23"/>
    <n v="2013"/>
    <n v="223880"/>
    <s v="223.88"/>
    <s v="3–4 min"/>
    <n v="39"/>
    <s v="Baja"/>
    <b v="0"/>
    <d v="2022-09-30T09:56:18"/>
    <n v="2022"/>
  </r>
  <r>
    <s v="Desprevenida"/>
    <s v="Malú"/>
    <x v="25"/>
    <s v="Oxígeno"/>
    <s v="2018-09-21"/>
    <n v="2018"/>
    <n v="214387"/>
    <s v="214.387"/>
    <s v="3–4 min"/>
    <n v="38"/>
    <s v="Baja"/>
    <b v="0"/>
    <d v="2022-09-30T09:56:18"/>
    <n v="2022"/>
  </r>
  <r>
    <s v="Que Quieres De Mi"/>
    <s v="Luis Fonsi"/>
    <x v="26"/>
    <s v="8 (Deluxe)"/>
    <s v="2014-01-01"/>
    <n v="2014"/>
    <n v="274213"/>
    <s v="274.213"/>
    <s v="4–5 min"/>
    <n v="20"/>
    <s v="Muy baja"/>
    <b v="0"/>
    <d v="2022-09-30T09:56:18"/>
    <n v="2022"/>
  </r>
  <r>
    <s v="Imagíname Sin Ti"/>
    <s v="Luis Fonsi"/>
    <x v="26"/>
    <s v="Exitos: 98:06 (Bonus Version)"/>
    <s v="2006-01-01"/>
    <n v="2006"/>
    <n v="249880"/>
    <s v="249.88"/>
    <s v="4–5 min"/>
    <n v="63"/>
    <s v="Alta"/>
    <b v="0"/>
    <d v="2022-09-30T09:56:18"/>
    <n v="2022"/>
  </r>
  <r>
    <s v="Lo Mejor de Mi Vida Eres Tú (feat. Natalia Jiménez)"/>
    <s v="Ricky Martin, Natalia Jiménez"/>
    <x v="8"/>
    <s v="Más Música + Alma + Sexo"/>
    <s v="2011-11-15"/>
    <n v="2011"/>
    <n v="216613"/>
    <s v="216.613"/>
    <s v="3–4 min"/>
    <n v="64"/>
    <s v="Alta"/>
    <b v="0"/>
    <d v="2022-09-30T09:56:18"/>
    <n v="2022"/>
  </r>
  <r>
    <s v="Quizás"/>
    <s v="Enrique Iglesias"/>
    <x v="13"/>
    <s v="Quizás"/>
    <s v="2002-01-01"/>
    <n v="2002"/>
    <n v="251186"/>
    <s v="251.186"/>
    <s v="4–5 min"/>
    <n v="67"/>
    <s v="Alta"/>
    <b v="0"/>
    <d v="2022-09-30T09:56:18"/>
    <n v="2022"/>
  </r>
  <r>
    <s v="Soy capaz"/>
    <s v="Pablo Alborán"/>
    <x v="2"/>
    <s v="Soy capaz"/>
    <s v="2021-11-12"/>
    <n v="2021"/>
    <n v="205452"/>
    <s v="205.452"/>
    <s v="3–4 min"/>
    <n v="37"/>
    <s v="Baja"/>
    <b v="0"/>
    <d v="2022-09-30T09:56:18"/>
    <n v="2022"/>
  </r>
  <r>
    <s v="Lejos Conmigo"/>
    <s v="Greeicy, Alejandro Sanz"/>
    <x v="27"/>
    <s v="Y SOY REBELDE!"/>
    <s v="2021-10-15"/>
    <n v="2021"/>
    <n v="175853"/>
    <s v="175.853"/>
    <s v="2–3 min"/>
    <n v="0"/>
    <s v="Muy baja"/>
    <b v="0"/>
    <d v="2022-09-30T09:56:18"/>
    <n v="2022"/>
  </r>
  <r>
    <s v="Escucha a tu corazón"/>
    <s v="Laura Pausini"/>
    <x v="19"/>
    <s v="Lo mejor de Laura Pausini - Volveré junto a ti"/>
    <s v="2001-10-08"/>
    <n v="2001"/>
    <n v="279040"/>
    <s v="279.04"/>
    <s v="4–5 min"/>
    <n v="49"/>
    <s v="Media"/>
    <b v="0"/>
    <d v="2022-09-30T09:56:18"/>
    <n v="2022"/>
  </r>
  <r>
    <s v="Aprendiz"/>
    <s v="Malú"/>
    <x v="25"/>
    <s v="Aprendiz"/>
    <s v="1998-07-12"/>
    <n v="1998"/>
    <n v="287626"/>
    <s v="287.626"/>
    <s v="4–5 min"/>
    <n v="50"/>
    <s v="Media"/>
    <b v="0"/>
    <d v="2022-09-30T09:56:18"/>
    <n v="2022"/>
  </r>
  <r>
    <s v="Secreto a Voces"/>
    <s v="Malú"/>
    <x v="25"/>
    <s v="Mil Batallas"/>
    <s v="2021-10-22"/>
    <n v="2021"/>
    <n v="207016"/>
    <s v="207.016"/>
    <s v="3–4 min"/>
    <n v="37"/>
    <s v="Baja"/>
    <b v="0"/>
    <d v="2022-09-30T09:56:18"/>
    <n v="2022"/>
  </r>
  <r>
    <s v="Dos Veces"/>
    <s v="David Bisbal, Luis Fonsi"/>
    <x v="17"/>
    <s v="Dos Veces"/>
    <s v="2021-06-23"/>
    <n v="2021"/>
    <n v="145922"/>
    <s v="145.922"/>
    <s v="2–3 min"/>
    <n v="49"/>
    <s v="Media"/>
    <b v="0"/>
    <d v="2022-09-30T09:56:18"/>
    <n v="2022"/>
  </r>
  <r>
    <s v="Noviembre Sin Ti"/>
    <s v="Reik"/>
    <x v="23"/>
    <s v="Reik"/>
    <s v="2005-05-24"/>
    <n v="2005"/>
    <n v="203226"/>
    <s v="203.226"/>
    <s v="3–4 min"/>
    <n v="74"/>
    <s v="Alta"/>
    <b v="0"/>
    <d v="2022-09-30T09:56:18"/>
    <n v="2022"/>
  </r>
  <r>
    <s v="En Tus Planes"/>
    <s v="David Bisbal"/>
    <x v="17"/>
    <s v="En Tus Planes"/>
    <s v="2020-01-02"/>
    <n v="2020"/>
    <n v="172146"/>
    <s v="172.146"/>
    <s v="2–3 min"/>
    <n v="43"/>
    <s v="Media"/>
    <b v="0"/>
    <d v="2022-09-30T09:56:18"/>
    <n v="2022"/>
  </r>
  <r>
    <s v="Se Busca"/>
    <s v="Malú"/>
    <x v="25"/>
    <s v="Se Busca"/>
    <s v="2021-10-14"/>
    <n v="2021"/>
    <n v="232992"/>
    <s v="232.992"/>
    <s v="3–4 min"/>
    <n v="20"/>
    <s v="Muy baja"/>
    <b v="0"/>
    <d v="2022-09-30T09:56:18"/>
    <n v="2022"/>
  </r>
  <r>
    <s v="Nada Es Para Siempre"/>
    <s v="Luis Fonsi"/>
    <x v="26"/>
    <s v="Paso A Paso"/>
    <s v="2005-01-01"/>
    <n v="2005"/>
    <n v="239826"/>
    <s v="239.826"/>
    <s v="3–4 min"/>
    <n v="60"/>
    <s v="Media"/>
    <b v="0"/>
    <d v="2022-09-30T09:56:18"/>
    <n v="2022"/>
  </r>
  <r>
    <s v="Perdón"/>
    <s v="David Bisbal, Greeicy"/>
    <x v="17"/>
    <s v="20 Años Contigo"/>
    <s v="2021-12-02"/>
    <n v="2021"/>
    <n v="206826"/>
    <s v="206.826"/>
    <s v="3–4 min"/>
    <n v="19"/>
    <s v="Muy baja"/>
    <b v="0"/>
    <d v="2022-09-30T09:56:18"/>
    <n v="2022"/>
  </r>
  <r>
    <s v="Y, ¿Si Fuera Ella? - + Es +"/>
    <s v="Pablo Alborán, David Bisbal, Antonio Carmona, Manuel Carrasco, Jesse &amp; Joy, Juanes, Pablo López, Malú, Vanesa Martín, India Martinez, Antonio Orozco, Niña Pastori, Laura Pausini, Abel Pintos, Rozalén, Shakira, Tommy Torres"/>
    <x v="2"/>
    <s v="Y, ¿Si Fuera Ella? (+ Es +)"/>
    <s v="2017-05-19"/>
    <n v="2017"/>
    <n v="250000"/>
    <s v="250"/>
    <s v="4–5 min"/>
    <n v="0"/>
    <s v="Muy baja"/>
    <b v="0"/>
    <d v="2022-09-30T09:56:18"/>
    <n v="2022"/>
  </r>
  <r>
    <s v="Nuestra Balada"/>
    <s v="Luis Fonsi"/>
    <x v="26"/>
    <s v="Nuestra Balada"/>
    <s v="2021-11-05"/>
    <n v="2021"/>
    <n v="167040"/>
    <s v="167.04"/>
    <s v="2–3 min"/>
    <n v="36"/>
    <s v="Baja"/>
    <b v="0"/>
    <d v="2022-09-30T09:56:18"/>
    <n v="2022"/>
  </r>
  <r>
    <s v="A Contracorriente"/>
    <s v="Alvaro Soler, David Bisbal"/>
    <x v="28"/>
    <s v="A Contracorriente"/>
    <s v="2022-01-14"/>
    <n v="2022"/>
    <n v="194824"/>
    <s v="194.824"/>
    <s v="3–4 min"/>
    <n v="57"/>
    <s v="Media"/>
    <b v="0"/>
    <d v="2022-09-30T09:56:18"/>
    <n v="2022"/>
  </r>
  <r>
    <s v="El Amor"/>
    <s v="Ricardo Arjona"/>
    <x v="4"/>
    <s v="Independiente + Demos"/>
    <s v="2011"/>
    <n v="2011"/>
    <n v="286786"/>
    <s v="286.786"/>
    <s v="4–5 min"/>
    <n v="0"/>
    <s v="Muy baja"/>
    <b v="0"/>
    <d v="2022-09-30T09:56:18"/>
    <n v="2022"/>
  </r>
  <r>
    <s v="La Rosa"/>
    <s v="Alejandro Sanz, Paco de Lucía"/>
    <x v="1"/>
    <s v="Sanz"/>
    <s v="2021-12-09"/>
    <n v="2021"/>
    <n v="226804"/>
    <s v="226.804"/>
    <s v="3–4 min"/>
    <n v="36"/>
    <s v="Baja"/>
    <b v="0"/>
    <d v="2022-09-30T09:56:18"/>
    <n v="2022"/>
  </r>
  <r>
    <s v="Cuidar Nuestro Amor"/>
    <s v="David Bisbal"/>
    <x v="17"/>
    <s v="Premonición"/>
    <s v="2006"/>
    <n v="2006"/>
    <n v="225693"/>
    <s v="225.693"/>
    <s v="3–4 min"/>
    <n v="44"/>
    <s v="Media"/>
    <b v="0"/>
    <d v="2022-09-30T09:56:18"/>
    <n v="2022"/>
  </r>
  <r>
    <s v="Se Me Va La Voz"/>
    <s v="Alejandro Fernández"/>
    <x v="12"/>
    <s v="Dos Mundos - Evolución"/>
    <s v="2009-01-01"/>
    <n v="2009"/>
    <n v="240240"/>
    <s v="240.24"/>
    <s v="4–5 min"/>
    <n v="68"/>
    <s v="Alta"/>
    <b v="0"/>
    <d v="2022-09-30T09:56:18"/>
    <n v="2022"/>
  </r>
  <r>
    <s v="Lo Juro por Dios"/>
    <s v="Carlos Rivera"/>
    <x v="29"/>
    <s v="Esperanza Mía (Banda Original de Sonido)"/>
    <s v="2015-05-21"/>
    <n v="2015"/>
    <n v="244466"/>
    <s v="244.466"/>
    <s v="4–5 min"/>
    <n v="31"/>
    <s v="Baja"/>
    <b v="0"/>
    <d v="2022-09-30T09:56:18"/>
    <n v="2022"/>
  </r>
  <r>
    <s v="Muñeca Cruel"/>
    <s v="Enrique Iglesias"/>
    <x v="13"/>
    <s v="Enrique Iglesias"/>
    <s v="1995-11-23"/>
    <n v="1995"/>
    <n v="261000"/>
    <s v="261"/>
    <s v="4–5 min"/>
    <n v="61"/>
    <s v="Alta"/>
    <b v="0"/>
    <d v="2022-09-30T09:56:18"/>
    <n v="2022"/>
  </r>
  <r>
    <s v="Seré"/>
    <s v="Luciano Pereyra"/>
    <x v="30"/>
    <s v="Tu Mano"/>
    <s v="2015-08-07"/>
    <n v="2015"/>
    <n v="249333"/>
    <s v="249.333"/>
    <s v="4–5 min"/>
    <n v="52"/>
    <s v="Media"/>
    <b v="0"/>
    <d v="2022-09-30T09:56:18"/>
    <n v="2022"/>
  </r>
  <r>
    <s v="Capitán Tapón"/>
    <s v="Alejandro Sanz"/>
    <x v="1"/>
    <s v="Sirope"/>
    <s v="2015-05-04"/>
    <n v="2015"/>
    <n v="281821"/>
    <s v="281.821"/>
    <s v="4–5 min"/>
    <n v="48"/>
    <s v="Media"/>
    <b v="0"/>
    <d v="2022-09-30T09:56:18"/>
    <n v="2022"/>
  </r>
  <r>
    <s v="Toda"/>
    <s v="Malú"/>
    <x v="25"/>
    <s v="Esta Vez"/>
    <s v="2001-05-14"/>
    <n v="2001"/>
    <n v="202800"/>
    <s v="202.8"/>
    <s v="3–4 min"/>
    <n v="42"/>
    <s v="Media"/>
    <b v="0"/>
    <d v="2022-09-30T09:56:18"/>
    <n v="2022"/>
  </r>
  <r>
    <s v="Amigo (with Melendi)"/>
    <s v="Malú, Melendi"/>
    <x v="25"/>
    <s v="Dual"/>
    <s v="2012-11-19"/>
    <n v="2012"/>
    <n v="216053"/>
    <s v="216.053"/>
    <s v="3–4 min"/>
    <n v="41"/>
    <s v="Media"/>
    <b v="0"/>
    <d v="2022-09-30T09:56:18"/>
    <n v="2022"/>
  </r>
  <r>
    <s v="Escapar"/>
    <s v="Enrique Iglesias"/>
    <x v="13"/>
    <s v="Escape"/>
    <s v="2001-01-01"/>
    <n v="2001"/>
    <n v="207800"/>
    <s v="207.8"/>
    <s v="3–4 min"/>
    <n v="59"/>
    <s v="Media"/>
    <b v="0"/>
    <d v="2022-09-30T09:56:18"/>
    <n v="2022"/>
  </r>
  <r>
    <s v="24 Horas - Versión Balada"/>
    <s v="David Bisbal"/>
    <x v="17"/>
    <s v="24 Horas"/>
    <s v="2010-01-01"/>
    <n v="2010"/>
    <n v="211173"/>
    <s v="211.173"/>
    <s v="3–4 min"/>
    <n v="7"/>
    <s v="Muy baja"/>
    <b v="0"/>
    <d v="2022-09-30T09:56:18"/>
    <n v="2022"/>
  </r>
  <r>
    <s v="Yo Te Voy A Amar - Spanish Radio Edit"/>
    <s v="*NSYNC"/>
    <x v="31"/>
    <s v="Greatest Hits"/>
    <s v="2005"/>
    <n v="2005"/>
    <n v="266240"/>
    <s v="266.24"/>
    <s v="4–5 min"/>
    <n v="55"/>
    <s v="Media"/>
    <b v="0"/>
    <d v="2022-09-30T09:56:18"/>
    <n v="2022"/>
  </r>
  <r>
    <s v="Cómo Duele"/>
    <s v="Ricardo Arjona"/>
    <x v="4"/>
    <s v="5to Piso"/>
    <s v="2008"/>
    <n v="2008"/>
    <n v="210400"/>
    <s v="210.4"/>
    <s v="3–4 min"/>
    <n v="1"/>
    <s v="Muy baja"/>
    <b v="0"/>
    <d v="2022-09-30T09:56:18"/>
    <n v="2022"/>
  </r>
  <r>
    <s v="Esclavo De Sus Besos"/>
    <s v="David Bisbal"/>
    <x v="17"/>
    <s v="Sin Mirar Atrás"/>
    <s v="2009-01-01"/>
    <n v="2009"/>
    <n v="237373"/>
    <s v="237.373"/>
    <s v="3–4 min"/>
    <n v="64"/>
    <s v="Alta"/>
    <b v="0"/>
    <d v="2022-09-30T09:56:18"/>
    <n v="2022"/>
  </r>
  <r>
    <s v="Sé Que Te Duele"/>
    <s v="Alejandro Fernández, Morat"/>
    <x v="12"/>
    <s v="Rompiendo Fronteras"/>
    <s v="2017-01-13"/>
    <n v="2017"/>
    <n v="228146"/>
    <s v="228.146"/>
    <s v="3–4 min"/>
    <n v="72"/>
    <s v="Alta"/>
    <b v="0"/>
    <d v="2022-09-30T09:56:18"/>
    <n v="2022"/>
  </r>
  <r>
    <s v="Completamente Enamorados"/>
    <s v="Chayanne"/>
    <x v="11"/>
    <s v="Grandes Exitos"/>
    <s v="2002"/>
    <n v="2002"/>
    <n v="258093"/>
    <s v="258.093"/>
    <s v="4–5 min"/>
    <n v="55"/>
    <s v="Media"/>
    <b v="0"/>
    <d v="2022-09-30T09:56:18"/>
    <n v="2022"/>
  </r>
  <r>
    <s v="Yo Te Amo"/>
    <s v="Chayanne"/>
    <x v="11"/>
    <s v="Simplemente"/>
    <s v="2000-11-28"/>
    <n v="2000"/>
    <n v="288946"/>
    <s v="288.946"/>
    <s v="4–5 min"/>
    <n v="70"/>
    <s v="Alta"/>
    <b v="0"/>
    <d v="2022-09-30T09:56:18"/>
    <n v="2022"/>
  </r>
  <r>
    <s v="Caja"/>
    <s v="Laura Pausini"/>
    <x v="19"/>
    <s v="Caja"/>
    <s v="2022-01-20"/>
    <n v="2022"/>
    <n v="207914"/>
    <s v="207.914"/>
    <s v="3–4 min"/>
    <n v="39"/>
    <s v="Baja"/>
    <b v="0"/>
    <d v="2022-09-30T09:56:18"/>
    <n v="2022"/>
  </r>
  <r>
    <s v="Ayer"/>
    <s v="Enrique Iglesias"/>
    <x v="13"/>
    <s v="Euphoria"/>
    <s v="2010"/>
    <n v="2010"/>
    <n v="213720"/>
    <s v="213.72"/>
    <s v="3–4 min"/>
    <n v="61"/>
    <s v="Alta"/>
    <b v="0"/>
    <d v="2022-09-30T09:56:18"/>
    <n v="2022"/>
  </r>
  <r>
    <s v="A Veces Bien Y A Veces Mal"/>
    <s v="Ricky Martin, Reik"/>
    <x v="8"/>
    <s v="A Veces Bien Y A Veces Mal"/>
    <s v="2022-04-14"/>
    <n v="2022"/>
    <n v="145783"/>
    <s v="145.783"/>
    <s v="2–3 min"/>
    <n v="52"/>
    <s v="Media"/>
    <b v="0"/>
    <d v="2022-09-30T09:56:18"/>
    <n v="2022"/>
  </r>
  <r>
    <s v="Deshielo"/>
    <s v="Malú"/>
    <x v="25"/>
    <s v="Mil Batallas"/>
    <s v="2021-10-22"/>
    <n v="2021"/>
    <n v="217808"/>
    <s v="217.808"/>
    <s v="3–4 min"/>
    <n v="32"/>
    <s v="Baja"/>
    <b v="0"/>
    <d v="2022-09-30T09:56:18"/>
    <n v="2022"/>
  </r>
  <r>
    <s v="¿Quién Te Dijo Eso?"/>
    <s v="Luis Fonsi"/>
    <x v="26"/>
    <s v="Abrazar La Vida"/>
    <s v="2003-01-01"/>
    <n v="2003"/>
    <n v="271600"/>
    <s v="271.6"/>
    <s v="4–5 min"/>
    <n v="67"/>
    <s v="Alta"/>
    <b v="0"/>
    <d v="2022-09-30T09:56:18"/>
    <n v="2022"/>
  </r>
  <r>
    <s v="Aqui Estoy Yo"/>
    <s v="Luis Fonsi, Aleks Syntek, Noel Schajris, David Bisbal"/>
    <x v="26"/>
    <s v="Palabras Del Silencio (Edición Aniversario - Un Año Despues)"/>
    <s v="2008"/>
    <n v="2008"/>
    <n v="251520"/>
    <s v="251.52"/>
    <s v="4–5 min"/>
    <n v="70"/>
    <s v="Alta"/>
    <b v="0"/>
    <d v="2022-09-30T09:56:18"/>
    <n v="2022"/>
  </r>
  <r>
    <s v="Se Nos Rompió El Amor"/>
    <s v="David Bisbal"/>
    <x v="17"/>
    <s v="Se Nos Rompió El Amor"/>
    <s v="2022-04-21"/>
    <n v="2022"/>
    <n v="154293"/>
    <s v="154.293"/>
    <s v="2–3 min"/>
    <n v="33"/>
    <s v="Baja"/>
    <b v="0"/>
    <d v="2022-09-30T09:56:18"/>
    <n v="2022"/>
  </r>
  <r>
    <s v="Espacio en Tu Corazón"/>
    <s v="Enrique Iglesias"/>
    <x v="13"/>
    <s v="Espacio en Tu Corazón"/>
    <s v="2022-03-28"/>
    <n v="2022"/>
    <n v="178849"/>
    <s v="178.849"/>
    <s v="2–3 min"/>
    <n v="44"/>
    <s v="Media"/>
    <b v="0"/>
    <d v="2022-09-30T09:56:18"/>
    <n v="2022"/>
  </r>
  <r>
    <s v="Cuándo - Versión Pop"/>
    <s v="Ricardo Arjona"/>
    <x v="4"/>
    <s v="Galeria Caribe"/>
    <s v="2000"/>
    <n v="2000"/>
    <n v="259373"/>
    <s v="259.373"/>
    <s v="4–5 min"/>
    <n v="42"/>
    <s v="Media"/>
    <b v="0"/>
    <d v="2022-09-30T09:56:18"/>
    <n v="2022"/>
  </r>
  <r>
    <s v="No Amanece"/>
    <s v="David Bisbal"/>
    <x v="17"/>
    <s v="Tú Y Yo"/>
    <s v="2014-01-01"/>
    <n v="2014"/>
    <n v="195662"/>
    <s v="195.662"/>
    <s v="3–4 min"/>
    <n v="46"/>
    <s v="Media"/>
    <b v="0"/>
    <d v="2022-09-30T09:56:18"/>
    <n v="2022"/>
  </r>
  <r>
    <s v="El Ruido"/>
    <s v="David Bisbal"/>
    <x v="17"/>
    <s v="Sin Mirar Atrás"/>
    <s v="2009-01-01"/>
    <n v="2009"/>
    <n v="238106"/>
    <s v="238.106"/>
    <s v="3–4 min"/>
    <n v="50"/>
    <s v="Media"/>
    <b v="0"/>
    <d v="2022-09-30T09:56:18"/>
    <n v="2022"/>
  </r>
  <r>
    <s v="Para Enamorarte De Mí"/>
    <s v="David Bisbal"/>
    <x v="17"/>
    <s v="Para Enamorarte De Mí"/>
    <s v="2013-01-01"/>
    <n v="2013"/>
    <n v="231646"/>
    <s v="231.646"/>
    <s v="3–4 min"/>
    <n v="0"/>
    <s v="Muy baja"/>
    <b v="0"/>
    <d v="2022-09-30T09:56:18"/>
    <n v="2022"/>
  </r>
  <r>
    <s v="Me Derrumbo"/>
    <s v="David Bisbal"/>
    <x v="17"/>
    <s v="David Bisbal (International Version)"/>
    <s v="2006-01-01"/>
    <n v="2006"/>
    <n v="251773"/>
    <s v="251.773"/>
    <s v="4–5 min"/>
    <n v="0"/>
    <s v="Muy baja"/>
    <b v="0"/>
    <d v="2022-09-30T09:56:18"/>
    <n v="2022"/>
  </r>
  <r>
    <s v="Premonición"/>
    <s v="David Bisbal"/>
    <x v="17"/>
    <s v="Lo Mejor De David Bisbal"/>
    <s v="2013-01-01"/>
    <n v="2013"/>
    <n v="245680"/>
    <s v="245.68"/>
    <s v="4–5 min"/>
    <n v="0"/>
    <s v="Muy baja"/>
    <b v="0"/>
    <d v="2022-09-30T09:56:18"/>
    <n v="2022"/>
  </r>
  <r>
    <s v="Si Tú Te Vas"/>
    <s v="Enrique Iglesias"/>
    <x v="13"/>
    <s v="Enrique Iglesias"/>
    <s v="1995-11-23"/>
    <n v="1995"/>
    <n v="244000"/>
    <s v="244"/>
    <s v="4–5 min"/>
    <n v="66"/>
    <s v="Alta"/>
    <b v="0"/>
    <d v="2022-09-30T09:56:18"/>
    <n v="2022"/>
  </r>
  <r>
    <s v="Tú Me Delatas"/>
    <s v="David Bisbal"/>
    <x v="17"/>
    <s v="Tú Me Delatas"/>
    <s v="2022-07-14"/>
    <n v="2022"/>
    <n v="197426"/>
    <s v="197.426"/>
    <s v="3–4 min"/>
    <n v="47"/>
    <s v="Media"/>
    <b v="0"/>
    <d v="2022-09-30T09:56:18"/>
    <n v="2022"/>
  </r>
  <r>
    <s v="Vete"/>
    <s v="Malú"/>
    <x v="25"/>
    <s v="Mil Batallas"/>
    <s v="2021-10-22"/>
    <n v="2021"/>
    <n v="172800"/>
    <s v="172.8"/>
    <s v="2–3 min"/>
    <n v="37"/>
    <s v="Baja"/>
    <b v="0"/>
    <d v="2022-09-30T09:56:18"/>
    <n v="2022"/>
  </r>
  <r>
    <s v="Lo Tenga O No"/>
    <s v="David Bisbal"/>
    <x v="17"/>
    <s v="Hijos Del Mar"/>
    <s v="2016-12-02"/>
    <n v="2016"/>
    <n v="269754"/>
    <s v="269.754"/>
    <s v="4–5 min"/>
    <n v="46"/>
    <s v="Media"/>
    <b v="0"/>
    <d v="2022-09-30T09:56:18"/>
    <n v="2022"/>
  </r>
  <r>
    <s v="Contigo"/>
    <s v="Sebastian Yatra, Pablo Alborán"/>
    <x v="32"/>
    <s v="Contigo"/>
    <s v="2022-07-21"/>
    <n v="2022"/>
    <n v="208600"/>
    <s v="208.6"/>
    <s v="3–4 min"/>
    <n v="59"/>
    <s v="Media"/>
    <b v="0"/>
    <d v="2022-09-30T09:56:18"/>
    <n v="2022"/>
  </r>
  <r>
    <s v="Antes Que No"/>
    <s v="David Bisbal"/>
    <x v="17"/>
    <s v="20 Años Contigo"/>
    <s v="2021-12-02"/>
    <n v="2021"/>
    <n v="226266"/>
    <s v="226.266"/>
    <s v="3–4 min"/>
    <n v="16"/>
    <s v="Muy baja"/>
    <b v="0"/>
    <d v="2022-09-30T09:55:19"/>
    <n v="2022"/>
  </r>
  <r>
    <s v="Juro Que Te Amo"/>
    <s v="David Bisbal"/>
    <x v="17"/>
    <s v="20 Años Contigo"/>
    <s v="2021-12-02"/>
    <n v="2021"/>
    <n v="227973"/>
    <s v="227.973"/>
    <s v="3–4 min"/>
    <n v="19"/>
    <s v="Muy baja"/>
    <b v="0"/>
    <d v="2022-09-30T09:55:19"/>
    <n v="2022"/>
  </r>
  <r>
    <s v="Fue Nuestro Amor"/>
    <s v="David Bisbal"/>
    <x v="17"/>
    <s v="Hijos Del Mar"/>
    <s v="2016-12-02"/>
    <n v="2016"/>
    <n v="251051"/>
    <s v="251.051"/>
    <s v="4–5 min"/>
    <n v="24"/>
    <s v="Baja"/>
    <b v="0"/>
    <d v="2022-09-30T09:55:19"/>
    <n v="2022"/>
  </r>
  <r>
    <s v="Una Palabra"/>
    <s v="David Bisbal"/>
    <x v="17"/>
    <s v="Hijos Del Mar"/>
    <s v="2016-12-02"/>
    <n v="2016"/>
    <n v="192548"/>
    <s v="192.548"/>
    <s v="3–4 min"/>
    <n v="30"/>
    <s v="Baja"/>
    <b v="0"/>
    <d v="2022-09-30T09:55:19"/>
    <n v="2022"/>
  </r>
  <r>
    <s v="Mi Norte Es Tu Sur"/>
    <s v="David Bisbal"/>
    <x v="17"/>
    <s v="Hijos Del Mar"/>
    <s v="2016-12-02"/>
    <n v="2016"/>
    <n v="197643"/>
    <s v="197.643"/>
    <s v="3–4 min"/>
    <n v="29"/>
    <s v="Baja"/>
    <b v="0"/>
    <d v="2022-09-30T09:55:19"/>
    <n v="2022"/>
  </r>
  <r>
    <s v="Viaje a ningún lado (con Carin Leon)"/>
    <s v="Pablo Alborán, Carín León"/>
    <x v="2"/>
    <s v="Viaje a ningún lado (con Carin Leon)"/>
    <s v="2022-10-14"/>
    <n v="2022"/>
    <n v="229567"/>
    <s v="229.567"/>
    <s v="3–4 min"/>
    <n v="46"/>
    <s v="Media"/>
    <b v="0"/>
    <d v="2022-11-07T11:52:48"/>
    <n v="2022"/>
  </r>
  <r>
    <s v="Amigos (con Maria Becerra)"/>
    <s v="Pablo Alborán, Maria Becerra"/>
    <x v="2"/>
    <s v="Amigos (con Maria Becerra)"/>
    <s v="2022-11-10"/>
    <n v="2022"/>
    <n v="233755"/>
    <s v="233.755"/>
    <s v="3–4 min"/>
    <n v="63"/>
    <s v="Alta"/>
    <b v="0"/>
    <d v="2022-11-15T15:07:01"/>
    <n v="2022"/>
  </r>
  <r>
    <s v="4U (con Leo Rizzi)"/>
    <s v="Pablo Alborán, Leo Rizzi"/>
    <x v="2"/>
    <s v="La cuarta hoja"/>
    <s v="2022-12-01"/>
    <n v="2022"/>
    <n v="188583"/>
    <s v="188.583"/>
    <s v="3–4 min"/>
    <n v="43"/>
    <s v="Media"/>
    <b v="0"/>
    <d v="2022-12-04T11:49:44"/>
    <n v="2022"/>
  </r>
  <r>
    <s v="Ausente"/>
    <s v="Malú"/>
    <x v="25"/>
    <s v="Ausente"/>
    <s v="2023-08-31"/>
    <n v="2023"/>
    <n v="214109"/>
    <s v="214.109"/>
    <s v="3–4 min"/>
    <n v="35"/>
    <s v="Baja"/>
    <b v="0"/>
    <d v="2023-09-14T10:34:36"/>
    <n v="2023"/>
  </r>
  <r>
    <s v="Tengo Roto El Corazón"/>
    <s v="David Bisbal"/>
    <x v="17"/>
    <s v="Tengo Roto El Corazón"/>
    <s v="2023-08-31"/>
    <n v="2023"/>
    <n v="193326"/>
    <s v="193.326"/>
    <s v="3–4 min"/>
    <n v="33"/>
    <s v="Baja"/>
    <b v="0"/>
    <d v="2023-09-14T10:34:54"/>
    <n v="2023"/>
  </r>
  <r>
    <s v="🦋 MARIPOSAS 🦋"/>
    <s v="Marc Seguí, Pablo Alborán"/>
    <x v="33"/>
    <s v="🦋 MARIPOSAS 🦋"/>
    <s v="2023-08-31"/>
    <n v="2023"/>
    <n v="162816"/>
    <s v="162.816"/>
    <s v="2–3 min"/>
    <n v="52"/>
    <s v="Media"/>
    <b v="0"/>
    <d v="2023-09-14T10:35:04"/>
    <n v="2023"/>
  </r>
  <r>
    <s v="Amo"/>
    <s v="Axel"/>
    <x v="34"/>
    <s v="Amo"/>
    <s v="2003-01-16"/>
    <n v="2003"/>
    <n v="213213"/>
    <s v="213.213"/>
    <s v="3–4 min"/>
    <n v="58"/>
    <s v="Media"/>
    <b v="0"/>
    <d v="2023-10-20T22:00:29"/>
    <n v="2023"/>
  </r>
  <r>
    <s v="Te Voy A Amar"/>
    <s v="Axel"/>
    <x v="34"/>
    <s v="Un Nuevo Sol (Versión Standard)"/>
    <s v="2011-01-01"/>
    <n v="2011"/>
    <n v="253240"/>
    <s v="253.24"/>
    <s v="4–5 min"/>
    <n v="63"/>
    <s v="Alta"/>
    <b v="0"/>
    <d v="2023-10-20T22:00:38"/>
    <n v="2023"/>
  </r>
  <r>
    <s v="Me Cambiaste la Vida"/>
    <s v="Río Roma"/>
    <x v="22"/>
    <s v="Al Fin Te Encontré"/>
    <s v="2012-07-24"/>
    <n v="2012"/>
    <n v="234480"/>
    <s v="234.48"/>
    <s v="3–4 min"/>
    <n v="66"/>
    <s v="Alta"/>
    <b v="0"/>
    <d v="2023-10-20T22:07:02"/>
    <n v="2023"/>
  </r>
  <r>
    <s v="Amar Es Lo Que Quiero"/>
    <s v="David Bisbal"/>
    <x v="17"/>
    <s v="20 Años Contigo"/>
    <s v="2021-12-02"/>
    <n v="2021"/>
    <n v="209800"/>
    <s v="209.8"/>
    <s v="3–4 min"/>
    <n v="18"/>
    <s v="Muy baja"/>
    <b v="0"/>
    <d v="2023-11-02T09:16:16"/>
    <n v="2023"/>
  </r>
  <r>
    <s v="Sin Mirar Atrás"/>
    <s v="David Bisbal"/>
    <x v="17"/>
    <s v="20 Años Contigo"/>
    <s v="2021-12-02"/>
    <n v="2021"/>
    <n v="211186"/>
    <s v="211.186"/>
    <s v="3–4 min"/>
    <n v="20"/>
    <s v="Muy baja"/>
    <b v="0"/>
    <d v="2023-11-02T09:16:16"/>
    <n v="2023"/>
  </r>
  <r>
    <s v="Sabrás"/>
    <s v="David Bisbal"/>
    <x v="17"/>
    <s v="20 Años Contigo"/>
    <s v="2021-12-02"/>
    <n v="2021"/>
    <n v="251493"/>
    <s v="251.493"/>
    <s v="4–5 min"/>
    <n v="12"/>
    <s v="Muy baja"/>
    <b v="0"/>
    <d v="2023-11-02T09:16:16"/>
    <n v="2023"/>
  </r>
  <r>
    <s v="Quién Me Iba A Decir"/>
    <s v="David Bisbal"/>
    <x v="17"/>
    <s v="Premonición"/>
    <s v="2006"/>
    <n v="2006"/>
    <n v="218866"/>
    <s v="218.866"/>
    <s v="3–4 min"/>
    <n v="49"/>
    <s v="Media"/>
    <b v="0"/>
    <d v="2023-11-02T09:16:16"/>
    <n v="2023"/>
  </r>
  <r>
    <s v="Besos De Tu Boca"/>
    <s v="David Bisbal"/>
    <x v="17"/>
    <s v="Sin Mirar Atrás"/>
    <s v="2009-01-01"/>
    <n v="2009"/>
    <n v="207693"/>
    <s v="207.693"/>
    <s v="3–4 min"/>
    <n v="27"/>
    <s v="Baja"/>
    <b v="0"/>
    <d v="2023-11-02T09:16:16"/>
    <n v="2023"/>
  </r>
  <r>
    <s v="Cuando Hacemos El Amor"/>
    <s v="David Bisbal"/>
    <x v="17"/>
    <s v="Sin Mirar Atrás"/>
    <s v="2009-01-01"/>
    <n v="2009"/>
    <n v="296013"/>
    <s v="296.013"/>
    <s v="4–5 min"/>
    <n v="31"/>
    <s v="Baja"/>
    <b v="0"/>
    <d v="2023-11-02T09:16:16"/>
    <n v="2023"/>
  </r>
  <r>
    <s v="Sueños Rotos"/>
    <s v="David Bisbal"/>
    <x v="17"/>
    <s v="Sin Mirar Atrás"/>
    <s v="2009-01-01"/>
    <n v="2009"/>
    <n v="239840"/>
    <s v="239.84"/>
    <s v="3–4 min"/>
    <n v="33"/>
    <s v="Baja"/>
    <b v="0"/>
    <d v="2023-11-02T09:16:16"/>
    <n v="2023"/>
  </r>
  <r>
    <s v="Somos dos - De &quot;Elemental&quot;"/>
    <s v="Pablo Alborán"/>
    <x v="2"/>
    <s v="Somos dos (De &quot;Elemental&quot;)"/>
    <s v="2023-06-30"/>
    <n v="2023"/>
    <n v="194579"/>
    <s v="194.579"/>
    <s v="3–4 min"/>
    <n v="46"/>
    <s v="Media"/>
    <b v="0"/>
    <d v="2023-11-02T09:16:16"/>
    <n v="2023"/>
  </r>
  <r>
    <s v="Angel Caido"/>
    <s v="Malú"/>
    <x v="25"/>
    <s v="Si"/>
    <s v="2013-10-14"/>
    <n v="2013"/>
    <n v="218576"/>
    <s v="218.576"/>
    <s v="3–4 min"/>
    <n v="48"/>
    <s v="Media"/>
    <b v="0"/>
    <d v="2023-11-02T09:16:16"/>
    <n v="2023"/>
  </r>
  <r>
    <s v="Me Enamoré de Ti"/>
    <s v="David Bisbal"/>
    <x v="17"/>
    <s v="Me Enamoré De Ti"/>
    <s v="2016-01-29"/>
    <n v="2016"/>
    <n v="206173"/>
    <s v="206.173"/>
    <s v="3–4 min"/>
    <n v="63"/>
    <s v="Alta"/>
    <b v="0"/>
    <d v="2024-02-27T10:53:25"/>
    <n v="2024"/>
  </r>
  <r>
    <s v="Diez Mil Maneras"/>
    <s v="David Bisbal"/>
    <x v="17"/>
    <s v="Tú Y Yo"/>
    <s v="2014-01-01"/>
    <n v="2014"/>
    <n v="213060"/>
    <s v="213.06"/>
    <s v="3–4 min"/>
    <n v="61"/>
    <s v="Alta"/>
    <b v="0"/>
    <d v="2024-02-27T10:53:25"/>
    <n v="2024"/>
  </r>
  <r>
    <s v="Todos los Secretos"/>
    <s v="Malú, Pablo Alborán"/>
    <x v="25"/>
    <s v="A TODO SÍ"/>
    <s v="2023-12-08"/>
    <n v="2023"/>
    <n v="218552"/>
    <s v="218.552"/>
    <s v="3–4 min"/>
    <n v="32"/>
    <s v="Baja"/>
    <b v="0"/>
    <d v="2024-02-27T10:53:25"/>
    <n v="2024"/>
  </r>
  <r>
    <s v="El Apagón"/>
    <s v="Malú, Melendi"/>
    <x v="25"/>
    <s v="A TODO SÍ"/>
    <s v="2023-12-08"/>
    <n v="2023"/>
    <n v="218637"/>
    <s v="218.637"/>
    <s v="3–4 min"/>
    <n v="38"/>
    <s v="Baja"/>
    <b v="0"/>
    <d v="2024-02-27T10:53:25"/>
    <n v="2024"/>
  </r>
  <r>
    <s v="Quién - Acústico 2022"/>
    <s v="Pablo Alborán"/>
    <x v="2"/>
    <s v="La cuarta hoja (Extended Version)"/>
    <s v="2023-01-31"/>
    <n v="2023"/>
    <n v="208920"/>
    <s v="208.92"/>
    <s v="3–4 min"/>
    <n v="30"/>
    <s v="Baja"/>
    <b v="0"/>
    <d v="2024-02-27T10:53:25"/>
    <n v="2024"/>
  </r>
  <r>
    <s v="Que siempre sea verano - Acústico 2022"/>
    <s v="Pablo Alborán"/>
    <x v="2"/>
    <s v="La cuarta hoja (Extended Version)"/>
    <s v="2023-01-31"/>
    <n v="2023"/>
    <n v="211538"/>
    <s v="211.538"/>
    <s v="3–4 min"/>
    <n v="33"/>
    <s v="Baja"/>
    <b v="0"/>
    <d v="2024-02-27T10:53:25"/>
    <n v="2024"/>
  </r>
  <r>
    <s v="La fiesta - Acústico 2022"/>
    <s v="Pablo Alborán"/>
    <x v="2"/>
    <s v="La cuarta hoja (Extended Version)"/>
    <s v="2023-01-31"/>
    <n v="2023"/>
    <n v="207870"/>
    <s v="207.87"/>
    <s v="3–4 min"/>
    <n v="25"/>
    <s v="Baja"/>
    <b v="0"/>
    <d v="2024-02-27T10:53:25"/>
    <n v="2024"/>
  </r>
  <r>
    <s v="Dicen - Acústico 2022"/>
    <s v="Pablo Alborán"/>
    <x v="2"/>
    <s v="La cuarta hoja (Extended Version)"/>
    <s v="2023-01-31"/>
    <n v="2023"/>
    <n v="201311"/>
    <s v="201.311"/>
    <s v="3–4 min"/>
    <n v="26"/>
    <s v="Baja"/>
    <b v="0"/>
    <d v="2024-02-27T10:53:25"/>
    <n v="2024"/>
  </r>
  <r>
    <s v="Hablemos de amor - Acústico 2022"/>
    <s v="Pablo Alborán"/>
    <x v="2"/>
    <s v="La cuarta hoja (Extended Version)"/>
    <s v="2023-01-31"/>
    <n v="2023"/>
    <n v="227521"/>
    <s v="227.521"/>
    <s v="3–4 min"/>
    <n v="31"/>
    <s v="Baja"/>
    <b v="0"/>
    <d v="2024-02-27T10:53:25"/>
    <n v="2024"/>
  </r>
  <r>
    <s v="Fecha de Caducidad"/>
    <s v="Melendi"/>
    <x v="0"/>
    <s v="Fecha de Caducidad"/>
    <s v="2026-02-27"/>
    <n v="2026"/>
    <n v="305466"/>
    <s v="305.466"/>
    <s v="Más de 5 min"/>
    <n v="59"/>
    <s v="Media"/>
    <b v="0"/>
    <d v="2026-05-09T11:44:51"/>
    <n v="2026"/>
  </r>
  <r>
    <s v="No Me Des la Tabarra"/>
    <s v="Melendi"/>
    <x v="0"/>
    <s v="No Me Des la Tabarra"/>
    <s v="2026-03-27"/>
    <n v="2026"/>
    <n v="245378"/>
    <s v="245.378"/>
    <s v="4–5 min"/>
    <n v="56"/>
    <s v="Media"/>
    <b v="0"/>
    <d v="2026-05-09T11:44:51"/>
    <n v="2026"/>
  </r>
  <r>
    <s v="Mentiras Arriesgadas"/>
    <s v="Melendi"/>
    <x v="0"/>
    <s v="Mentiras Arriesgadas"/>
    <s v="2026-04-24"/>
    <n v="2026"/>
    <n v="212960"/>
    <s v="212.96"/>
    <s v="3–4 min"/>
    <n v="49"/>
    <s v="Media"/>
    <b v="0"/>
    <d v="2026-05-09T11:44:51"/>
    <n v="202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14"/>
  </r>
  <r>
    <s v="Total de artistas"/>
  </r>
  <r>
    <n v="1"/>
  </r>
  <r>
    <s v="Total de álbum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B3DCE-6C3F-4232-877C-3BBE335926A4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52217-1571-4788-9EA6-3C58FDC5868A}" name="TopAlbumes" cacheId="3" applyNumberFormats="0" applyBorderFormats="0" applyFontFormats="0" applyPatternFormats="0" applyAlignmentFormats="0" applyWidthHeightFormats="1" dataCaption="Valores" tag="9d451905-a378-40f7-a16a-44afddb84bea" updatedVersion="8" minRefreshableVersion="3" useAutoFormatting="1" subtotalHiddenItems="1" itemPrintTitles="1" createdVersion="8" indent="0" outline="1" outlineData="1" multipleFieldFilters="0" chartFormat="29">
  <location ref="G2:H13" firstHeaderRow="1" firstDataRow="1" firstDataCol="1"/>
  <pivotFields count="3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 v="1"/>
    </i>
    <i>
      <x v="8"/>
    </i>
    <i>
      <x v="2"/>
    </i>
    <i>
      <x v="4"/>
    </i>
    <i>
      <x v="5"/>
    </i>
    <i>
      <x/>
    </i>
    <i>
      <x v="7"/>
    </i>
    <i>
      <x v="3"/>
    </i>
    <i>
      <x v="6"/>
    </i>
    <i>
      <x v="9"/>
    </i>
    <i t="grand">
      <x/>
    </i>
  </rowItems>
  <colItems count="1">
    <i/>
  </colItems>
  <dataFields count="1">
    <dataField name="Recuento de Nombre del álbum" fld="1" subtotal="count" baseField="0" baseItem="0"/>
  </dataFields>
  <chartFormats count="5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28">
      <autoFilter ref="A1">
        <filterColumn colId="0">
          <top10 val="10" filterVal="10"/>
        </filterColumn>
      </autoFilter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otify]"/>
        <x15:activeTabTopLevelEntity name="[carretera_y_manta_🎶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C4EC5D-30AE-4A6A-8058-85BF6EB30A23}" name="ClasificacionPopularidad" cacheId="5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6">
  <location ref="M2:N8" firstHeaderRow="1" firstDataRow="1" firstDataCol="1"/>
  <pivotFields count="3">
    <pivotField dataField="1" subtotalTop="0" showAll="0" defaultSubtotal="0"/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 defaultAttributeDrillState="1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cuento de Nombre de la canción" fld="0" subtotal="count" baseField="0" baseItem="0"/>
  </dataFields>
  <chartFormats count="1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rretera_y_manta_🎶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94A91-0579-4067-9904-FCF76F2B74F8}" name="ClasificacionDuracion" cacheId="4" applyNumberFormats="0" applyBorderFormats="0" applyFontFormats="0" applyPatternFormats="0" applyAlignmentFormats="0" applyWidthHeightFormats="1" dataCaption="Valores" tag="c1f60157-6bae-484d-aaa9-6d8bbec344fd" updatedVersion="8" minRefreshableVersion="3" useAutoFormatting="1" subtotalHiddenItems="1" itemPrintTitles="1" createdVersion="8" indent="0" outline="1" outlineData="1" multipleFieldFilters="0" chartFormat="7">
  <location ref="J2:K7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cuento de Nombre de la canción" fld="0" subtotal="count" baseField="0" baseItem="0"/>
  </dataFields>
  <chartFormats count="1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otify]"/>
        <x15:activeTabTopLevelEntity name="[carretera_y_manta_🎶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E12A9-B78A-481D-B05A-9E3A6A5BC220}" name="Insight" cacheId="8" dataOnRows="1" applyNumberFormats="0" applyBorderFormats="0" applyFontFormats="0" applyPatternFormats="0" applyAlignmentFormats="0" applyWidthHeightFormats="1" dataCaption="Valores" tag="ed8b07d4-59dc-4e52-b000-f4ee12311cd0" updatedVersion="8" minRefreshableVersion="3" useAutoFormatting="1" itemPrintTitles="1" createdVersion="8" indent="0" outline="1" outlineData="1" multipleFieldFilters="0">
  <location ref="A32:B37" firstHeaderRow="1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Items count="1">
    <i/>
  </colItems>
  <dataFields count="5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pivotHierarchies count="48"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rretera_y_manta_🎶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970915-4103-406F-8C69-C939C3116646}" name="Cancionesxañolanzamiennto" cacheId="6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7">
  <location ref="P2:Q38" firstHeaderRow="1" firstDataRow="1" firstDataCol="1"/>
  <pivotFields count="3">
    <pivotField axis="axisRow" allDrilled="1" subtotalTop="0" showAll="0" dataSourceSort="1" defaultSubtotal="0" defaultAttributeDrillState="1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dataFields count="1">
    <dataField name="Recuento de Nombre de la canción" fld="1" subtotal="count" baseField="0" baseItem="0"/>
  </dataFields>
  <chartFormats count="3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rretera_y_manta_🎶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EAF6C-8AC9-47E2-9FA2-CBB6B943B4C7}" name="CanciosXaño" cacheId="7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4">
  <location ref="S2:T7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cuento de Nombre de la canción" fld="0" subtotal="count" baseField="0" baseItem="0"/>
  </dataFields>
  <chartFormats count="2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48"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rretera_y_manta_🎶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3A842-4E80-4154-AB9A-CD05AFA8C6E0}" name="TopArtist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8">
  <location ref="D2:E13" firstHeaderRow="1" firstDataRow="1" firstDataCol="1"/>
  <pivotFields count="14">
    <pivotField showAll="0"/>
    <pivotField showAll="0"/>
    <pivotField axis="axisRow" dataField="1" showAll="0" measureFilter="1" sortType="ascending">
      <items count="36">
        <item x="31"/>
        <item x="12"/>
        <item x="1"/>
        <item x="9"/>
        <item x="28"/>
        <item x="34"/>
        <item x="24"/>
        <item x="6"/>
        <item x="29"/>
        <item x="11"/>
        <item x="17"/>
        <item x="20"/>
        <item x="13"/>
        <item x="18"/>
        <item x="15"/>
        <item x="27"/>
        <item x="16"/>
        <item x="21"/>
        <item x="19"/>
        <item x="30"/>
        <item x="26"/>
        <item x="5"/>
        <item x="25"/>
        <item x="10"/>
        <item x="33"/>
        <item x="0"/>
        <item x="3"/>
        <item x="2"/>
        <item x="23"/>
        <item x="7"/>
        <item x="4"/>
        <item x="8"/>
        <item x="22"/>
        <item x="32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</pivotFields>
  <rowFields count="1">
    <field x="2"/>
  </rowFields>
  <rowItems count="11">
    <i>
      <x v="20"/>
    </i>
    <i>
      <x v="9"/>
    </i>
    <i>
      <x v="30"/>
    </i>
    <i>
      <x v="31"/>
    </i>
    <i>
      <x v="22"/>
    </i>
    <i>
      <x v="12"/>
    </i>
    <i>
      <x v="10"/>
    </i>
    <i>
      <x v="2"/>
    </i>
    <i>
      <x v="27"/>
    </i>
    <i>
      <x v="25"/>
    </i>
    <i t="grand">
      <x/>
    </i>
  </rowItems>
  <colItems count="1">
    <i/>
  </colItems>
  <dataFields count="1">
    <dataField name="Cuenta de Artista Principal" fld="2" subtotal="count" baseField="0" baseItem="0"/>
  </dataFields>
  <chartFormats count="1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F6249-FEC9-46AA-B28A-03D61833F3F1}" name="analisis" cacheId="2" dataOnRows="1" applyNumberFormats="0" applyBorderFormats="0" applyFontFormats="0" applyPatternFormats="0" applyAlignmentFormats="0" applyWidthHeightFormats="1" dataCaption="Valores" tag="e4aa89d6-e6f2-40bf-b6ef-f368874cc34e" updatedVersion="8" minRefreshableVersion="3" useAutoFormatting="1" subtotalHiddenItems="1" itemPrintTitles="1" createdVersion="8" indent="0" outline="1" outlineData="1" multipleFieldFilters="0">
  <location ref="A21:B30" firstHeaderRow="1" firstDataRow="1" firstDataCol="1"/>
  <pivotFields count="10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-2"/>
  </rowFields>
  <row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rowItems>
  <colItems count="1">
    <i/>
  </colItems>
  <dataFields count="9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  <dataField fld="7" subtotal="count" baseField="0" baseItem="0"/>
    <dataField fld="8" subtotal="count" baseField="0" baseItem="0"/>
  </dataFields>
  <formats count="4">
    <format dxfId="3">
      <pivotArea collapsedLevelsAreSubtotals="1" fieldPosition="0">
        <references count="1">
          <reference field="4294967294" count="1">
            <x v="3"/>
          </reference>
        </references>
      </pivotArea>
    </format>
    <format dxfId="2">
      <pivotArea collapsedLevelsAreSubtotals="1" fieldPosition="0">
        <references count="1">
          <reference field="4294967294" count="1">
            <x v="6"/>
          </reference>
        </references>
      </pivotArea>
    </format>
    <format dxfId="1">
      <pivotArea collapsedLevelsAreSubtotals="1" fieldPosition="0">
        <references count="1">
          <reference field="4294967294" count="1">
            <x v="7"/>
          </reference>
        </references>
      </pivotArea>
    </format>
    <format dxfId="0">
      <pivotArea collapsedLevelsAreSubtotals="1" fieldPosition="0">
        <references count="1">
          <reference field="4294967294" count="1">
            <x v="8"/>
          </reference>
        </references>
      </pivotArea>
    </format>
  </formats>
  <pivotHierarchies count="48"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potify]"/>
        <x15:activeTabTopLevelEntity name="[carretera_y_manta_🎶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2" xr16:uid="{E514EBDA-1640-4DD3-8EF2-F44454E836AC}" autoFormatId="16" applyNumberFormats="0" applyBorderFormats="0" applyFontFormats="0" applyPatternFormats="0" applyAlignmentFormats="0" applyWidthHeightFormats="0">
  <queryTableRefresh nextId="15">
    <queryTableFields count="14">
      <queryTableField id="1" name="Nombre de la canción" tableColumnId="1"/>
      <queryTableField id="2" name="Nombre(s) del artista" tableColumnId="2"/>
      <queryTableField id="3" name="Artista Principal" tableColumnId="3"/>
      <queryTableField id="4" name="Nombre del álbum" tableColumnId="4"/>
      <queryTableField id="5" name="Fecha de lanzamiento del álbum" tableColumnId="5"/>
      <queryTableField id="6" name="Año de lanzamiento del álbum" tableColumnId="6"/>
      <queryTableField id="7" name="Duración de la canción (ms)" tableColumnId="7"/>
      <queryTableField id="8" name="Duración segundos (s)" tableColumnId="8"/>
      <queryTableField id="9" name="Duración categoría" tableColumnId="9"/>
      <queryTableField id="10" name="Popularidad" tableColumnId="10"/>
      <queryTableField id="11" name="Categoría popularidad" tableColumnId="11"/>
      <queryTableField id="12" name="Explícito" tableColumnId="12"/>
      <queryTableField id="13" name="Añadido en" tableColumnId="13"/>
      <queryTableField id="14" name="Año Añadido" tableColumnId="14"/>
    </queryTableFields>
  </queryTableRefresh>
  <extLst>
    <ext xmlns:x15="http://schemas.microsoft.com/office/spreadsheetml/2010/11/main" uri="{883FBD77-0823-4a55-B5E3-86C4891E6966}">
      <x15:queryTable sourceDataName="Consulta - carretera_y_manta_🎶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rtista_Principal" xr10:uid="{A8A50667-14DE-471F-87D5-0200EDF06B61}" sourceName="[carretera_y_manta_🎶].[Artista Principal]">
  <pivotTables>
    <pivotTable tabId="1" name="analisis"/>
    <pivotTable tabId="1" name="TopAlbumes"/>
    <pivotTable tabId="1" name="ClasificacionDuracion"/>
    <pivotTable tabId="1" name="ClasificacionPopularidad"/>
    <pivotTable tabId="1" name="Cancionesxañolanzamiennto"/>
    <pivotTable tabId="1" name="CanciosXaño"/>
    <pivotTable tabId="1" name="Insight"/>
  </pivotTables>
  <data>
    <olap pivotCacheId="1931953588">
      <levels count="2">
        <level uniqueName="[carretera_y_manta_🎶].[Artista Principal].[(All)]" sourceCaption="(All)" count="0"/>
        <level uniqueName="[carretera_y_manta_🎶].[Artista Principal].[Artista Principal]" sourceCaption="Artista Principal" count="35">
          <ranges>
            <range startItem="0">
              <i n="[carretera_y_manta_🎶].[Artista Principal].&amp;[*NSYNC]" c="*NSYNC"/>
              <i n="[carretera_y_manta_🎶].[Artista Principal].&amp;[Alejandro Fernández]" c="Alejandro Fernández"/>
              <i n="[carretera_y_manta_🎶].[Artista Principal].&amp;[Alejandro Sanz]" c="Alejandro Sanz"/>
              <i n="[carretera_y_manta_🎶].[Artista Principal].&amp;[Alex Ubago]" c="Alex Ubago"/>
              <i n="[carretera_y_manta_🎶].[Artista Principal].&amp;[Alvaro Soler]" c="Alvaro Soler"/>
              <i n="[carretera_y_manta_🎶].[Artista Principal].&amp;[Axel]" c="Axel"/>
              <i n="[carretera_y_manta_🎶].[Artista Principal].&amp;[Camila]" c="Camila"/>
              <i n="[carretera_y_manta_🎶].[Artista Principal].&amp;[Carla Morrison]" c="Carla Morrison"/>
              <i n="[carretera_y_manta_🎶].[Artista Principal].&amp;[Carlos Rivera]" c="Carlos Rivera"/>
              <i n="[carretera_y_manta_🎶].[Artista Principal].&amp;[Chayanne]" c="Chayanne"/>
              <i n="[carretera_y_manta_🎶].[Artista Principal].&amp;[David Bisbal]" c="David Bisbal"/>
              <i n="[carretera_y_manta_🎶].[Artista Principal].&amp;[Emmanuel]" c="Emmanuel"/>
              <i n="[carretera_y_manta_🎶].[Artista Principal].&amp;[Enrique Iglesias]" c="Enrique Iglesias"/>
              <i n="[carretera_y_manta_🎶].[Artista Principal].&amp;[Franco De Vita]" c="Franco De Vita"/>
              <i n="[carretera_y_manta_🎶].[Artista Principal].&amp;[Gaby Moreno]" c="Gaby Moreno"/>
              <i n="[carretera_y_manta_🎶].[Artista Principal].&amp;[Greeicy]" c="Greeicy"/>
              <i n="[carretera_y_manta_🎶].[Artista Principal].&amp;[Jesse &amp; Joy]" c="Jesse &amp; Joy"/>
              <i n="[carretera_y_manta_🎶].[Artista Principal].&amp;[La Oreja de Van Gogh]" c="La Oreja de Van Gogh"/>
              <i n="[carretera_y_manta_🎶].[Artista Principal].&amp;[Laura Pausini]" c="Laura Pausini"/>
              <i n="[carretera_y_manta_🎶].[Artista Principal].&amp;[Luciano Pereyra]" c="Luciano Pereyra"/>
              <i n="[carretera_y_manta_🎶].[Artista Principal].&amp;[Luis Fonsi]" c="Luis Fonsi"/>
              <i n="[carretera_y_manta_🎶].[Artista Principal].&amp;[Maldita Nerea]" c="Maldita Nerea"/>
              <i n="[carretera_y_manta_🎶].[Artista Principal].&amp;[Malú]" c="Malú"/>
              <i n="[carretera_y_manta_🎶].[Artista Principal].&amp;[Maná]" c="Maná"/>
              <i n="[carretera_y_manta_🎶].[Artista Principal].&amp;[Marc Seguí]" c="Marc Seguí"/>
              <i n="[carretera_y_manta_🎶].[Artista Principal].&amp;[Melendi]" c="Melendi"/>
              <i n="[carretera_y_manta_🎶].[Artista Principal].&amp;[Niña Pastori]" c="Niña Pastori"/>
              <i n="[carretera_y_manta_🎶].[Artista Principal].&amp;[Pablo Alborán]" c="Pablo Alborán"/>
              <i n="[carretera_y_manta_🎶].[Artista Principal].&amp;[Reik]" c="Reik"/>
              <i n="[carretera_y_manta_🎶].[Artista Principal].&amp;[Reyli Barba]" c="Reyli Barba"/>
              <i n="[carretera_y_manta_🎶].[Artista Principal].&amp;[Ricardo Arjona]" c="Ricardo Arjona"/>
              <i n="[carretera_y_manta_🎶].[Artista Principal].&amp;[Ricky Martin]" c="Ricky Martin"/>
              <i n="[carretera_y_manta_🎶].[Artista Principal].&amp;[Río Roma]" c="Río Roma"/>
              <i n="[carretera_y_manta_🎶].[Artista Principal].&amp;[Sebastian Yatra]" c="Sebastian Yatra"/>
              <i n="[carretera_y_manta_🎶].[Artista Principal].&amp;[Sin Bandera]" c="Sin Bandera"/>
            </range>
          </ranges>
        </level>
      </levels>
      <selections count="1">
        <selection n="[carretera_y_manta_🎶].[Artista Principal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_de_lanzamiento_del_álbum" xr10:uid="{2F5DC08B-89D9-4324-BC53-CDA5D6342AA3}" sourceName="[carretera_y_manta_🎶].[Año de lanzamiento del álbum]">
  <pivotTables>
    <pivotTable tabId="1" name="Cancionesxañolanzamiennto"/>
    <pivotTable tabId="1" name="analisis"/>
    <pivotTable tabId="1" name="CanciosXaño"/>
    <pivotTable tabId="1" name="ClasificacionDuracion"/>
    <pivotTable tabId="1" name="ClasificacionPopularidad"/>
    <pivotTable tabId="1" name="TopAlbumes"/>
    <pivotTable tabId="1" name="Insight"/>
  </pivotTables>
  <data>
    <olap pivotCacheId="1931953588">
      <levels count="2">
        <level uniqueName="[carretera_y_manta_🎶].[Año de lanzamiento del álbum].[(All)]" sourceCaption="(All)" count="0"/>
        <level uniqueName="[carretera_y_manta_🎶].[Año de lanzamiento del álbum].[Año de lanzamiento del álbum]" sourceCaption="Año de lanzamiento del álbum" count="35">
          <ranges>
            <range startItem="0">
              <i n="[carretera_y_manta_🎶].[Año de lanzamiento del álbum].&amp;[1989]" c="1989"/>
              <i n="[carretera_y_manta_🎶].[Año de lanzamiento del álbum].&amp;[1991]" c="1991"/>
              <i n="[carretera_y_manta_🎶].[Año de lanzamiento del álbum].&amp;[1992]" c="1992"/>
              <i n="[carretera_y_manta_🎶].[Año de lanzamiento del álbum].&amp;[1993]" c="1993"/>
              <i n="[carretera_y_manta_🎶].[Año de lanzamiento del álbum].&amp;[1994]" c="1994"/>
              <i n="[carretera_y_manta_🎶].[Año de lanzamiento del álbum].&amp;[1995]" c="1995"/>
              <i n="[carretera_y_manta_🎶].[Año de lanzamiento del álbum].&amp;[1997]" c="1997"/>
              <i n="[carretera_y_manta_🎶].[Año de lanzamiento del álbum].&amp;[1998]" c="1998"/>
              <i n="[carretera_y_manta_🎶].[Año de lanzamiento del álbum].&amp;[2000]" c="2000"/>
              <i n="[carretera_y_manta_🎶].[Año de lanzamiento del álbum].&amp;[2001]" c="2001"/>
              <i n="[carretera_y_manta_🎶].[Año de lanzamiento del álbum].&amp;[2002]" c="2002"/>
              <i n="[carretera_y_manta_🎶].[Año de lanzamiento del álbum].&amp;[2003]" c="2003"/>
              <i n="[carretera_y_manta_🎶].[Año de lanzamiento del álbum].&amp;[2004]" c="2004"/>
              <i n="[carretera_y_manta_🎶].[Año de lanzamiento del álbum].&amp;[2005]" c="2005"/>
              <i n="[carretera_y_manta_🎶].[Año de lanzamiento del álbum].&amp;[2006]" c="2006"/>
              <i n="[carretera_y_manta_🎶].[Año de lanzamiento del álbum].&amp;[2007]" c="2007"/>
              <i n="[carretera_y_manta_🎶].[Año de lanzamiento del álbum].&amp;[2008]" c="2008"/>
              <i n="[carretera_y_manta_🎶].[Año de lanzamiento del álbum].&amp;[2009]" c="2009"/>
              <i n="[carretera_y_manta_🎶].[Año de lanzamiento del álbum].&amp;[2010]" c="2010"/>
              <i n="[carretera_y_manta_🎶].[Año de lanzamiento del álbum].&amp;[2011]" c="2011"/>
              <i n="[carretera_y_manta_🎶].[Año de lanzamiento del álbum].&amp;[2012]" c="2012"/>
              <i n="[carretera_y_manta_🎶].[Año de lanzamiento del álbum].&amp;[2013]" c="2013"/>
              <i n="[carretera_y_manta_🎶].[Año de lanzamiento del álbum].&amp;[2014]" c="2014"/>
              <i n="[carretera_y_manta_🎶].[Año de lanzamiento del álbum].&amp;[2015]" c="2015"/>
              <i n="[carretera_y_manta_🎶].[Año de lanzamiento del álbum].&amp;[2016]" c="2016"/>
              <i n="[carretera_y_manta_🎶].[Año de lanzamiento del álbum].&amp;[2017]" c="2017"/>
              <i n="[carretera_y_manta_🎶].[Año de lanzamiento del álbum].&amp;[2018]" c="2018"/>
              <i n="[carretera_y_manta_🎶].[Año de lanzamiento del álbum].&amp;[2019]" c="2019"/>
              <i n="[carretera_y_manta_🎶].[Año de lanzamiento del álbum].&amp;[2020]" c="2020"/>
              <i n="[carretera_y_manta_🎶].[Año de lanzamiento del álbum].&amp;[2021]" c="2021"/>
              <i n="[carretera_y_manta_🎶].[Año de lanzamiento del álbum].&amp;[2022]" c="2022"/>
              <i n="[carretera_y_manta_🎶].[Año de lanzamiento del álbum].&amp;[2023]" c="2023"/>
              <i n="[carretera_y_manta_🎶].[Año de lanzamiento del álbum].&amp;[2024]" c="2024"/>
              <i n="[carretera_y_manta_🎶].[Año de lanzamiento del álbum].&amp;[2025]" c="2025"/>
              <i n="[carretera_y_manta_🎶].[Año de lanzamiento del álbum].&amp;[2026]" c="2026"/>
            </range>
          </ranges>
        </level>
      </levels>
      <selections count="1">
        <selection n="[carretera_y_manta_🎶].[Año de lanzamiento del álbum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rtista Principal" xr10:uid="{A22D243E-BD09-439D-9994-440A2D686DE8}" cache="SegmentaciónDeDatos_Artista_Principal" caption="Artista Principal" startItem="23" level="1" rowHeight="257175"/>
  <slicer name="Año de lanzamiento del álbum" xr10:uid="{D1EED1E1-4642-4783-9802-D3985E2152BB}" cache="SegmentaciónDeDatos_Año_de_lanzamiento_del_álbum" caption="Lanzamiento" columnCount="2" level="1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560D8E-03A2-4389-9778-76A48C37616F}" name="spotify" displayName="spotify" ref="A1:N480" tableType="queryTable" totalsRowShown="0">
  <autoFilter ref="A1:N480" xr:uid="{B9560D8E-03A2-4389-9778-76A48C37616F}"/>
  <tableColumns count="14">
    <tableColumn id="1" xr3:uid="{1CF92E23-DCB6-45FF-BD31-D39C6CD8B77A}" uniqueName="1" name="Nombre de la canción" queryTableFieldId="1" dataDxfId="8"/>
    <tableColumn id="2" xr3:uid="{DDF8F0B1-C01B-40BE-A66F-31699F80FF8B}" uniqueName="2" name="Nombre(s) del artista" queryTableFieldId="2" dataDxfId="7"/>
    <tableColumn id="3" xr3:uid="{F89B06EC-36E0-46FA-816F-41EBE286A407}" uniqueName="3" name="Artista Principal" queryTableFieldId="3"/>
    <tableColumn id="4" xr3:uid="{9F71C84E-AEAF-4218-9941-7B124DBC3C31}" uniqueName="4" name="Nombre del álbum" queryTableFieldId="4" dataDxfId="6"/>
    <tableColumn id="5" xr3:uid="{16CF99C0-5A55-4196-A884-D4E1176E7300}" uniqueName="5" name="Fecha de lanzamiento del álbum" queryTableFieldId="5" dataDxfId="5"/>
    <tableColumn id="6" xr3:uid="{56F09B29-E3F2-4981-9608-B2E9A62E534A}" uniqueName="6" name="Año de lanzamiento del álbum" queryTableFieldId="6"/>
    <tableColumn id="7" xr3:uid="{A398D4DA-5D44-4BD8-BF22-D71BD4FFFA58}" uniqueName="7" name="Duración de la canción (ms)" queryTableFieldId="7"/>
    <tableColumn id="8" xr3:uid="{5CDD54B3-D174-46F9-A899-2A55AEA9A033}" uniqueName="8" name="Duración segundos (s)" queryTableFieldId="8"/>
    <tableColumn id="9" xr3:uid="{5FA1D9CF-D1B4-4F89-8936-B8AD4063B034}" uniqueName="9" name="Duración categoría" queryTableFieldId="9"/>
    <tableColumn id="10" xr3:uid="{E77FAC2A-7CED-4C0F-8C8E-0F3B58B38411}" uniqueName="10" name="Popularidad" queryTableFieldId="10"/>
    <tableColumn id="11" xr3:uid="{A8C027DA-9DBB-434F-8B63-8F72C1AD2E49}" uniqueName="11" name="Categoría popularidad" queryTableFieldId="11"/>
    <tableColumn id="12" xr3:uid="{1C1ECEB4-8531-40EE-B23D-471F2A0DAED1}" uniqueName="12" name="Explícito" queryTableFieldId="12"/>
    <tableColumn id="13" xr3:uid="{D4EC6751-4EA3-4DE2-9D68-ACA73854DA50}" uniqueName="13" name="Añadido en" queryTableFieldId="13" dataDxfId="4"/>
    <tableColumn id="14" xr3:uid="{555D808B-A0DC-4F84-B368-C63BBB684B22}" uniqueName="14" name="Año Añadido" queryTableField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Relationship Id="rId9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5BA85-D1FF-4FF2-B4D9-3343A62A146A}">
  <dimension ref="A1:N480"/>
  <sheetViews>
    <sheetView workbookViewId="0">
      <selection activeCell="A480" sqref="A480:XFD480"/>
    </sheetView>
  </sheetViews>
  <sheetFormatPr baseColWidth="10" defaultRowHeight="15" x14ac:dyDescent="0.25"/>
  <cols>
    <col min="1" max="1" width="64.85546875" bestFit="1" customWidth="1"/>
    <col min="2" max="2" width="81.140625" bestFit="1" customWidth="1"/>
    <col min="3" max="3" width="19.85546875" bestFit="1" customWidth="1"/>
    <col min="4" max="4" width="55.5703125" bestFit="1" customWidth="1"/>
    <col min="5" max="5" width="32.42578125" bestFit="1" customWidth="1"/>
    <col min="6" max="6" width="30.5703125" bestFit="1" customWidth="1"/>
    <col min="7" max="7" width="28.42578125" bestFit="1" customWidth="1"/>
    <col min="8" max="8" width="23.7109375" bestFit="1" customWidth="1"/>
    <col min="9" max="9" width="20.28515625" bestFit="1" customWidth="1"/>
    <col min="10" max="10" width="14" bestFit="1" customWidth="1"/>
    <col min="11" max="11" width="23.28515625" bestFit="1" customWidth="1"/>
    <col min="12" max="12" width="11.5703125" bestFit="1" customWidth="1"/>
    <col min="13" max="13" width="15.42578125" bestFit="1" customWidth="1"/>
    <col min="14" max="15" width="14.42578125" bestFit="1" customWidth="1"/>
  </cols>
  <sheetData>
    <row r="1" spans="1:14" x14ac:dyDescent="0.25">
      <c r="A1" t="s">
        <v>0</v>
      </c>
      <c r="B1" t="s">
        <v>1</v>
      </c>
      <c r="C1" t="s">
        <v>881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867</v>
      </c>
      <c r="J1" t="s">
        <v>7</v>
      </c>
      <c r="K1" t="s">
        <v>875</v>
      </c>
      <c r="L1" t="s">
        <v>8</v>
      </c>
      <c r="M1" t="s">
        <v>9</v>
      </c>
      <c r="N1" t="s">
        <v>10</v>
      </c>
    </row>
    <row r="2" spans="1:14" x14ac:dyDescent="0.25">
      <c r="A2" s="1" t="s">
        <v>438</v>
      </c>
      <c r="B2" s="1" t="s">
        <v>432</v>
      </c>
      <c r="C2" t="s">
        <v>432</v>
      </c>
      <c r="D2" s="1" t="s">
        <v>439</v>
      </c>
      <c r="E2" s="1" t="s">
        <v>440</v>
      </c>
      <c r="F2">
        <v>2014</v>
      </c>
      <c r="G2">
        <v>211586</v>
      </c>
      <c r="H2" t="s">
        <v>891</v>
      </c>
      <c r="I2" t="s">
        <v>870</v>
      </c>
      <c r="J2">
        <v>2</v>
      </c>
      <c r="K2" t="s">
        <v>878</v>
      </c>
      <c r="L2" t="b">
        <v>0</v>
      </c>
      <c r="M2" s="2">
        <v>46227.389108796298</v>
      </c>
      <c r="N2">
        <v>2026</v>
      </c>
    </row>
    <row r="3" spans="1:14" x14ac:dyDescent="0.25">
      <c r="A3" s="1" t="s">
        <v>441</v>
      </c>
      <c r="B3" s="1" t="s">
        <v>432</v>
      </c>
      <c r="C3" t="s">
        <v>432</v>
      </c>
      <c r="D3" s="1" t="s">
        <v>442</v>
      </c>
      <c r="E3" s="1" t="s">
        <v>443</v>
      </c>
      <c r="F3">
        <v>2018</v>
      </c>
      <c r="G3">
        <v>258519</v>
      </c>
      <c r="H3" t="s">
        <v>892</v>
      </c>
      <c r="I3" t="s">
        <v>868</v>
      </c>
      <c r="J3">
        <v>34</v>
      </c>
      <c r="K3" t="s">
        <v>877</v>
      </c>
      <c r="L3" t="b">
        <v>0</v>
      </c>
      <c r="M3" s="2">
        <v>46227.389108796298</v>
      </c>
      <c r="N3">
        <v>2026</v>
      </c>
    </row>
    <row r="4" spans="1:14" x14ac:dyDescent="0.25">
      <c r="A4" s="1" t="s">
        <v>444</v>
      </c>
      <c r="B4" s="1" t="s">
        <v>432</v>
      </c>
      <c r="C4" t="s">
        <v>432</v>
      </c>
      <c r="D4" s="1" t="s">
        <v>445</v>
      </c>
      <c r="E4" s="1" t="s">
        <v>446</v>
      </c>
      <c r="F4">
        <v>2019</v>
      </c>
      <c r="G4">
        <v>233386</v>
      </c>
      <c r="H4" t="s">
        <v>893</v>
      </c>
      <c r="I4" t="s">
        <v>870</v>
      </c>
      <c r="J4">
        <v>45</v>
      </c>
      <c r="K4" t="s">
        <v>879</v>
      </c>
      <c r="L4" t="b">
        <v>0</v>
      </c>
      <c r="M4" s="2">
        <v>46227.389108796298</v>
      </c>
      <c r="N4">
        <v>2026</v>
      </c>
    </row>
    <row r="5" spans="1:14" x14ac:dyDescent="0.25">
      <c r="A5" s="1" t="s">
        <v>447</v>
      </c>
      <c r="B5" s="1" t="s">
        <v>432</v>
      </c>
      <c r="C5" t="s">
        <v>432</v>
      </c>
      <c r="D5" s="1" t="s">
        <v>445</v>
      </c>
      <c r="E5" s="1" t="s">
        <v>446</v>
      </c>
      <c r="F5">
        <v>2019</v>
      </c>
      <c r="G5">
        <v>243680</v>
      </c>
      <c r="H5" t="s">
        <v>894</v>
      </c>
      <c r="I5" t="s">
        <v>868</v>
      </c>
      <c r="J5">
        <v>45</v>
      </c>
      <c r="K5" t="s">
        <v>879</v>
      </c>
      <c r="L5" t="b">
        <v>0</v>
      </c>
      <c r="M5" s="2">
        <v>46227.389108796298</v>
      </c>
      <c r="N5">
        <v>2026</v>
      </c>
    </row>
    <row r="6" spans="1:14" x14ac:dyDescent="0.25">
      <c r="A6" s="1" t="s">
        <v>448</v>
      </c>
      <c r="B6" s="1" t="s">
        <v>432</v>
      </c>
      <c r="C6" t="s">
        <v>432</v>
      </c>
      <c r="D6" s="1" t="s">
        <v>445</v>
      </c>
      <c r="E6" s="1" t="s">
        <v>446</v>
      </c>
      <c r="F6">
        <v>2019</v>
      </c>
      <c r="G6">
        <v>230693</v>
      </c>
      <c r="H6" t="s">
        <v>895</v>
      </c>
      <c r="I6" t="s">
        <v>870</v>
      </c>
      <c r="J6">
        <v>45</v>
      </c>
      <c r="K6" t="s">
        <v>879</v>
      </c>
      <c r="L6" t="b">
        <v>0</v>
      </c>
      <c r="M6" s="2">
        <v>46227.389108796298</v>
      </c>
      <c r="N6">
        <v>2026</v>
      </c>
    </row>
    <row r="7" spans="1:14" x14ac:dyDescent="0.25">
      <c r="A7" s="1" t="s">
        <v>449</v>
      </c>
      <c r="B7" s="1" t="s">
        <v>432</v>
      </c>
      <c r="C7" t="s">
        <v>432</v>
      </c>
      <c r="D7" s="1" t="s">
        <v>445</v>
      </c>
      <c r="E7" s="1" t="s">
        <v>446</v>
      </c>
      <c r="F7">
        <v>2019</v>
      </c>
      <c r="G7">
        <v>208146</v>
      </c>
      <c r="H7" t="s">
        <v>896</v>
      </c>
      <c r="I7" t="s">
        <v>870</v>
      </c>
      <c r="J7">
        <v>45</v>
      </c>
      <c r="K7" t="s">
        <v>879</v>
      </c>
      <c r="L7" t="b">
        <v>0</v>
      </c>
      <c r="M7" s="2">
        <v>46227.389108796298</v>
      </c>
      <c r="N7">
        <v>2026</v>
      </c>
    </row>
    <row r="8" spans="1:14" x14ac:dyDescent="0.25">
      <c r="A8" s="1" t="s">
        <v>450</v>
      </c>
      <c r="B8" s="1" t="s">
        <v>432</v>
      </c>
      <c r="C8" t="s">
        <v>432</v>
      </c>
      <c r="D8" s="1" t="s">
        <v>442</v>
      </c>
      <c r="E8" s="1" t="s">
        <v>443</v>
      </c>
      <c r="F8">
        <v>2018</v>
      </c>
      <c r="G8">
        <v>222186</v>
      </c>
      <c r="H8" t="s">
        <v>897</v>
      </c>
      <c r="I8" t="s">
        <v>870</v>
      </c>
      <c r="J8">
        <v>31</v>
      </c>
      <c r="K8" t="s">
        <v>877</v>
      </c>
      <c r="L8" t="b">
        <v>0</v>
      </c>
      <c r="M8" s="2">
        <v>46227.389108796298</v>
      </c>
      <c r="N8">
        <v>2026</v>
      </c>
    </row>
    <row r="9" spans="1:14" x14ac:dyDescent="0.25">
      <c r="A9" s="1" t="s">
        <v>451</v>
      </c>
      <c r="B9" s="1" t="s">
        <v>432</v>
      </c>
      <c r="C9" t="s">
        <v>432</v>
      </c>
      <c r="D9" s="1" t="s">
        <v>442</v>
      </c>
      <c r="E9" s="1" t="s">
        <v>443</v>
      </c>
      <c r="F9">
        <v>2018</v>
      </c>
      <c r="G9">
        <v>220453</v>
      </c>
      <c r="H9" t="s">
        <v>898</v>
      </c>
      <c r="I9" t="s">
        <v>870</v>
      </c>
      <c r="J9">
        <v>34</v>
      </c>
      <c r="K9" t="s">
        <v>877</v>
      </c>
      <c r="L9" t="b">
        <v>0</v>
      </c>
      <c r="M9" s="2">
        <v>46227.389108796298</v>
      </c>
      <c r="N9">
        <v>2026</v>
      </c>
    </row>
    <row r="10" spans="1:14" x14ac:dyDescent="0.25">
      <c r="A10" s="1" t="s">
        <v>452</v>
      </c>
      <c r="B10" s="1" t="s">
        <v>432</v>
      </c>
      <c r="C10" t="s">
        <v>432</v>
      </c>
      <c r="D10" s="1" t="s">
        <v>453</v>
      </c>
      <c r="E10" s="1" t="s">
        <v>454</v>
      </c>
      <c r="F10">
        <v>2017</v>
      </c>
      <c r="G10">
        <v>172946</v>
      </c>
      <c r="H10" t="s">
        <v>899</v>
      </c>
      <c r="I10" t="s">
        <v>869</v>
      </c>
      <c r="J10">
        <v>32</v>
      </c>
      <c r="K10" t="s">
        <v>877</v>
      </c>
      <c r="L10" t="b">
        <v>0</v>
      </c>
      <c r="M10" s="2">
        <v>46227.389108796298</v>
      </c>
      <c r="N10">
        <v>2026</v>
      </c>
    </row>
    <row r="11" spans="1:14" x14ac:dyDescent="0.25">
      <c r="A11" s="1" t="s">
        <v>469</v>
      </c>
      <c r="B11" s="1" t="s">
        <v>432</v>
      </c>
      <c r="C11" t="s">
        <v>432</v>
      </c>
      <c r="D11" s="1" t="s">
        <v>470</v>
      </c>
      <c r="E11" s="1" t="s">
        <v>471</v>
      </c>
      <c r="F11">
        <v>2016</v>
      </c>
      <c r="G11">
        <v>286240</v>
      </c>
      <c r="H11" t="s">
        <v>900</v>
      </c>
      <c r="I11" t="s">
        <v>868</v>
      </c>
      <c r="J11">
        <v>39</v>
      </c>
      <c r="K11" t="s">
        <v>877</v>
      </c>
      <c r="L11" t="b">
        <v>0</v>
      </c>
      <c r="M11" s="2">
        <v>46227.389108796298</v>
      </c>
      <c r="N11">
        <v>2026</v>
      </c>
    </row>
    <row r="12" spans="1:14" x14ac:dyDescent="0.25">
      <c r="A12" s="1" t="s">
        <v>472</v>
      </c>
      <c r="B12" s="1" t="s">
        <v>432</v>
      </c>
      <c r="C12" t="s">
        <v>432</v>
      </c>
      <c r="D12" s="1" t="s">
        <v>453</v>
      </c>
      <c r="E12" s="1" t="s">
        <v>454</v>
      </c>
      <c r="F12">
        <v>2017</v>
      </c>
      <c r="G12">
        <v>261120</v>
      </c>
      <c r="H12" t="s">
        <v>901</v>
      </c>
      <c r="I12" t="s">
        <v>868</v>
      </c>
      <c r="J12">
        <v>42</v>
      </c>
      <c r="K12" t="s">
        <v>879</v>
      </c>
      <c r="L12" t="b">
        <v>0</v>
      </c>
      <c r="M12" s="2">
        <v>46227.389108796298</v>
      </c>
      <c r="N12">
        <v>2026</v>
      </c>
    </row>
    <row r="13" spans="1:14" x14ac:dyDescent="0.25">
      <c r="A13" s="1" t="s">
        <v>473</v>
      </c>
      <c r="B13" s="1" t="s">
        <v>432</v>
      </c>
      <c r="C13" t="s">
        <v>432</v>
      </c>
      <c r="D13" s="1" t="s">
        <v>442</v>
      </c>
      <c r="E13" s="1" t="s">
        <v>443</v>
      </c>
      <c r="F13">
        <v>2018</v>
      </c>
      <c r="G13">
        <v>254400</v>
      </c>
      <c r="H13" t="s">
        <v>902</v>
      </c>
      <c r="I13" t="s">
        <v>868</v>
      </c>
      <c r="J13">
        <v>45</v>
      </c>
      <c r="K13" t="s">
        <v>879</v>
      </c>
      <c r="L13" t="b">
        <v>0</v>
      </c>
      <c r="M13" s="2">
        <v>46227.389108796298</v>
      </c>
      <c r="N13">
        <v>2026</v>
      </c>
    </row>
    <row r="14" spans="1:14" x14ac:dyDescent="0.25">
      <c r="A14" s="1" t="s">
        <v>480</v>
      </c>
      <c r="B14" s="1" t="s">
        <v>432</v>
      </c>
      <c r="C14" t="s">
        <v>432</v>
      </c>
      <c r="D14" s="1" t="s">
        <v>439</v>
      </c>
      <c r="E14" s="1" t="s">
        <v>440</v>
      </c>
      <c r="F14">
        <v>2014</v>
      </c>
      <c r="G14">
        <v>246466</v>
      </c>
      <c r="H14" t="s">
        <v>903</v>
      </c>
      <c r="I14" t="s">
        <v>868</v>
      </c>
      <c r="J14">
        <v>0</v>
      </c>
      <c r="K14" t="s">
        <v>878</v>
      </c>
      <c r="L14" t="b">
        <v>0</v>
      </c>
      <c r="M14" s="2">
        <v>46227.389108796298</v>
      </c>
      <c r="N14">
        <v>2026</v>
      </c>
    </row>
    <row r="15" spans="1:14" x14ac:dyDescent="0.25">
      <c r="A15" s="1" t="s">
        <v>481</v>
      </c>
      <c r="B15" s="1" t="s">
        <v>432</v>
      </c>
      <c r="C15" t="s">
        <v>432</v>
      </c>
      <c r="D15" s="1" t="s">
        <v>439</v>
      </c>
      <c r="E15" s="1" t="s">
        <v>440</v>
      </c>
      <c r="F15">
        <v>2014</v>
      </c>
      <c r="G15">
        <v>265880</v>
      </c>
      <c r="H15" t="s">
        <v>904</v>
      </c>
      <c r="I15" t="s">
        <v>868</v>
      </c>
      <c r="J15">
        <v>0</v>
      </c>
      <c r="K15" t="s">
        <v>878</v>
      </c>
      <c r="L15" t="b">
        <v>0</v>
      </c>
      <c r="M15" s="2">
        <v>46227.389108796298</v>
      </c>
      <c r="N15">
        <v>2026</v>
      </c>
    </row>
    <row r="16" spans="1:14" x14ac:dyDescent="0.25">
      <c r="A16" s="1" t="s">
        <v>483</v>
      </c>
      <c r="B16" s="1" t="s">
        <v>432</v>
      </c>
      <c r="C16" t="s">
        <v>432</v>
      </c>
      <c r="D16" s="1" t="s">
        <v>439</v>
      </c>
      <c r="E16" s="1" t="s">
        <v>440</v>
      </c>
      <c r="F16">
        <v>2014</v>
      </c>
      <c r="G16">
        <v>233040</v>
      </c>
      <c r="H16" t="s">
        <v>905</v>
      </c>
      <c r="I16" t="s">
        <v>870</v>
      </c>
      <c r="J16">
        <v>5</v>
      </c>
      <c r="K16" t="s">
        <v>878</v>
      </c>
      <c r="L16" t="b">
        <v>0</v>
      </c>
      <c r="M16" s="2">
        <v>46227.389108796298</v>
      </c>
      <c r="N16">
        <v>2026</v>
      </c>
    </row>
    <row r="17" spans="1:14" x14ac:dyDescent="0.25">
      <c r="A17" s="1" t="s">
        <v>485</v>
      </c>
      <c r="B17" s="1" t="s">
        <v>432</v>
      </c>
      <c r="C17" t="s">
        <v>432</v>
      </c>
      <c r="D17" s="1" t="s">
        <v>486</v>
      </c>
      <c r="E17" s="1" t="s">
        <v>487</v>
      </c>
      <c r="F17">
        <v>2012</v>
      </c>
      <c r="G17">
        <v>236975</v>
      </c>
      <c r="H17" t="s">
        <v>906</v>
      </c>
      <c r="I17" t="s">
        <v>870</v>
      </c>
      <c r="J17">
        <v>77</v>
      </c>
      <c r="K17" t="s">
        <v>876</v>
      </c>
      <c r="L17" t="b">
        <v>0</v>
      </c>
      <c r="M17" s="2">
        <v>46227.389108796298</v>
      </c>
      <c r="N17">
        <v>2026</v>
      </c>
    </row>
    <row r="18" spans="1:14" x14ac:dyDescent="0.25">
      <c r="A18" s="1" t="s">
        <v>488</v>
      </c>
      <c r="B18" s="1" t="s">
        <v>432</v>
      </c>
      <c r="C18" t="s">
        <v>432</v>
      </c>
      <c r="D18" s="1" t="s">
        <v>470</v>
      </c>
      <c r="E18" s="1" t="s">
        <v>471</v>
      </c>
      <c r="F18">
        <v>2016</v>
      </c>
      <c r="G18">
        <v>268426</v>
      </c>
      <c r="H18" t="s">
        <v>907</v>
      </c>
      <c r="I18" t="s">
        <v>868</v>
      </c>
      <c r="J18">
        <v>37</v>
      </c>
      <c r="K18" t="s">
        <v>877</v>
      </c>
      <c r="L18" t="b">
        <v>0</v>
      </c>
      <c r="M18" s="2">
        <v>46227.389108796298</v>
      </c>
      <c r="N18">
        <v>2026</v>
      </c>
    </row>
    <row r="19" spans="1:14" x14ac:dyDescent="0.25">
      <c r="A19" s="1" t="s">
        <v>489</v>
      </c>
      <c r="B19" s="1" t="s">
        <v>432</v>
      </c>
      <c r="C19" t="s">
        <v>432</v>
      </c>
      <c r="D19" s="1" t="s">
        <v>445</v>
      </c>
      <c r="E19" s="1" t="s">
        <v>446</v>
      </c>
      <c r="F19">
        <v>2019</v>
      </c>
      <c r="G19">
        <v>203560</v>
      </c>
      <c r="H19" t="s">
        <v>908</v>
      </c>
      <c r="I19" t="s">
        <v>870</v>
      </c>
      <c r="J19">
        <v>50</v>
      </c>
      <c r="K19" t="s">
        <v>879</v>
      </c>
      <c r="L19" t="b">
        <v>0</v>
      </c>
      <c r="M19" s="2">
        <v>46227.389108796298</v>
      </c>
      <c r="N19">
        <v>2026</v>
      </c>
    </row>
    <row r="20" spans="1:14" x14ac:dyDescent="0.25">
      <c r="A20" s="1" t="s">
        <v>490</v>
      </c>
      <c r="B20" s="1" t="s">
        <v>432</v>
      </c>
      <c r="C20" t="s">
        <v>432</v>
      </c>
      <c r="D20" s="1" t="s">
        <v>491</v>
      </c>
      <c r="E20" s="1" t="s">
        <v>492</v>
      </c>
      <c r="F20">
        <v>2008</v>
      </c>
      <c r="G20">
        <v>222720</v>
      </c>
      <c r="H20" t="s">
        <v>909</v>
      </c>
      <c r="I20" t="s">
        <v>870</v>
      </c>
      <c r="J20">
        <v>69</v>
      </c>
      <c r="K20" t="s">
        <v>876</v>
      </c>
      <c r="L20" t="b">
        <v>0</v>
      </c>
      <c r="M20" s="2">
        <v>46227.389108796298</v>
      </c>
      <c r="N20">
        <v>2026</v>
      </c>
    </row>
    <row r="21" spans="1:14" x14ac:dyDescent="0.25">
      <c r="A21" s="1" t="s">
        <v>493</v>
      </c>
      <c r="B21" s="1" t="s">
        <v>432</v>
      </c>
      <c r="C21" t="s">
        <v>432</v>
      </c>
      <c r="D21" s="1" t="s">
        <v>439</v>
      </c>
      <c r="E21" s="1" t="s">
        <v>440</v>
      </c>
      <c r="F21">
        <v>2014</v>
      </c>
      <c r="G21">
        <v>276413</v>
      </c>
      <c r="H21" t="s">
        <v>910</v>
      </c>
      <c r="I21" t="s">
        <v>868</v>
      </c>
      <c r="J21">
        <v>0</v>
      </c>
      <c r="K21" t="s">
        <v>878</v>
      </c>
      <c r="L21" t="b">
        <v>0</v>
      </c>
      <c r="M21" s="2">
        <v>46227.389108796298</v>
      </c>
      <c r="N21">
        <v>2026</v>
      </c>
    </row>
    <row r="22" spans="1:14" x14ac:dyDescent="0.25">
      <c r="A22" s="1" t="s">
        <v>495</v>
      </c>
      <c r="B22" s="1" t="s">
        <v>432</v>
      </c>
      <c r="C22" t="s">
        <v>432</v>
      </c>
      <c r="D22" s="1" t="s">
        <v>442</v>
      </c>
      <c r="E22" s="1" t="s">
        <v>443</v>
      </c>
      <c r="F22">
        <v>2018</v>
      </c>
      <c r="G22">
        <v>237626</v>
      </c>
      <c r="H22" t="s">
        <v>911</v>
      </c>
      <c r="I22" t="s">
        <v>870</v>
      </c>
      <c r="J22">
        <v>55</v>
      </c>
      <c r="K22" t="s">
        <v>879</v>
      </c>
      <c r="L22" t="b">
        <v>0</v>
      </c>
      <c r="M22" s="2">
        <v>46227.389108796298</v>
      </c>
      <c r="N22">
        <v>2026</v>
      </c>
    </row>
    <row r="23" spans="1:14" x14ac:dyDescent="0.25">
      <c r="A23" s="1" t="s">
        <v>470</v>
      </c>
      <c r="B23" s="1" t="s">
        <v>432</v>
      </c>
      <c r="C23" t="s">
        <v>432</v>
      </c>
      <c r="D23" s="1" t="s">
        <v>470</v>
      </c>
      <c r="E23" s="1" t="s">
        <v>471</v>
      </c>
      <c r="F23">
        <v>2016</v>
      </c>
      <c r="G23">
        <v>235720</v>
      </c>
      <c r="H23" t="s">
        <v>912</v>
      </c>
      <c r="I23" t="s">
        <v>870</v>
      </c>
      <c r="J23">
        <v>34</v>
      </c>
      <c r="K23" t="s">
        <v>877</v>
      </c>
      <c r="L23" t="b">
        <v>0</v>
      </c>
      <c r="M23" s="2">
        <v>46227.389108796298</v>
      </c>
      <c r="N23">
        <v>2026</v>
      </c>
    </row>
    <row r="24" spans="1:14" x14ac:dyDescent="0.25">
      <c r="A24" s="1" t="s">
        <v>510</v>
      </c>
      <c r="B24" s="1" t="s">
        <v>432</v>
      </c>
      <c r="C24" t="s">
        <v>432</v>
      </c>
      <c r="D24" s="1" t="s">
        <v>486</v>
      </c>
      <c r="E24" s="1" t="s">
        <v>487</v>
      </c>
      <c r="F24">
        <v>2012</v>
      </c>
      <c r="G24">
        <v>295718</v>
      </c>
      <c r="H24" t="s">
        <v>913</v>
      </c>
      <c r="I24" t="s">
        <v>868</v>
      </c>
      <c r="J24">
        <v>67</v>
      </c>
      <c r="K24" t="s">
        <v>876</v>
      </c>
      <c r="L24" t="b">
        <v>0</v>
      </c>
      <c r="M24" s="2">
        <v>46227.389108796298</v>
      </c>
      <c r="N24">
        <v>2026</v>
      </c>
    </row>
    <row r="25" spans="1:14" x14ac:dyDescent="0.25">
      <c r="A25" s="1" t="s">
        <v>514</v>
      </c>
      <c r="B25" s="1" t="s">
        <v>432</v>
      </c>
      <c r="C25" t="s">
        <v>432</v>
      </c>
      <c r="D25" s="1" t="s">
        <v>515</v>
      </c>
      <c r="E25" s="1" t="s">
        <v>516</v>
      </c>
      <c r="F25">
        <v>2006</v>
      </c>
      <c r="G25">
        <v>196813</v>
      </c>
      <c r="H25" t="s">
        <v>914</v>
      </c>
      <c r="I25" t="s">
        <v>870</v>
      </c>
      <c r="J25">
        <v>46</v>
      </c>
      <c r="K25" t="s">
        <v>879</v>
      </c>
      <c r="L25" t="b">
        <v>0</v>
      </c>
      <c r="M25" s="2">
        <v>46227.389108796298</v>
      </c>
      <c r="N25">
        <v>2026</v>
      </c>
    </row>
    <row r="26" spans="1:14" x14ac:dyDescent="0.25">
      <c r="A26" s="1" t="s">
        <v>525</v>
      </c>
      <c r="B26" s="1" t="s">
        <v>432</v>
      </c>
      <c r="C26" t="s">
        <v>432</v>
      </c>
      <c r="D26" s="1" t="s">
        <v>526</v>
      </c>
      <c r="E26" s="1" t="s">
        <v>127</v>
      </c>
      <c r="F26">
        <v>2005</v>
      </c>
      <c r="G26">
        <v>189146</v>
      </c>
      <c r="H26" t="s">
        <v>915</v>
      </c>
      <c r="I26" t="s">
        <v>870</v>
      </c>
      <c r="J26">
        <v>41</v>
      </c>
      <c r="K26" t="s">
        <v>879</v>
      </c>
      <c r="L26" t="b">
        <v>0</v>
      </c>
      <c r="M26" s="2">
        <v>46227.389108796298</v>
      </c>
      <c r="N26">
        <v>2026</v>
      </c>
    </row>
    <row r="27" spans="1:14" x14ac:dyDescent="0.25">
      <c r="A27" s="1" t="s">
        <v>527</v>
      </c>
      <c r="B27" s="1" t="s">
        <v>432</v>
      </c>
      <c r="C27" t="s">
        <v>432</v>
      </c>
      <c r="D27" s="1" t="s">
        <v>442</v>
      </c>
      <c r="E27" s="1" t="s">
        <v>443</v>
      </c>
      <c r="F27">
        <v>2018</v>
      </c>
      <c r="G27">
        <v>228693</v>
      </c>
      <c r="H27" t="s">
        <v>916</v>
      </c>
      <c r="I27" t="s">
        <v>870</v>
      </c>
      <c r="J27">
        <v>45</v>
      </c>
      <c r="K27" t="s">
        <v>879</v>
      </c>
      <c r="L27" t="b">
        <v>0</v>
      </c>
      <c r="M27" s="2">
        <v>46227.389108796298</v>
      </c>
      <c r="N27">
        <v>2026</v>
      </c>
    </row>
    <row r="28" spans="1:14" x14ac:dyDescent="0.25">
      <c r="A28" s="1" t="s">
        <v>564</v>
      </c>
      <c r="B28" s="1" t="s">
        <v>432</v>
      </c>
      <c r="C28" t="s">
        <v>432</v>
      </c>
      <c r="D28" s="1" t="s">
        <v>515</v>
      </c>
      <c r="E28" s="1" t="s">
        <v>516</v>
      </c>
      <c r="F28">
        <v>2006</v>
      </c>
      <c r="G28">
        <v>212693</v>
      </c>
      <c r="H28" t="s">
        <v>917</v>
      </c>
      <c r="I28" t="s">
        <v>870</v>
      </c>
      <c r="J28">
        <v>65</v>
      </c>
      <c r="K28" t="s">
        <v>876</v>
      </c>
      <c r="L28" t="b">
        <v>0</v>
      </c>
      <c r="M28" s="2">
        <v>46227.389108796298</v>
      </c>
      <c r="N28">
        <v>2026</v>
      </c>
    </row>
    <row r="29" spans="1:14" x14ac:dyDescent="0.25">
      <c r="A29" s="1" t="s">
        <v>565</v>
      </c>
      <c r="B29" s="1" t="s">
        <v>432</v>
      </c>
      <c r="C29" t="s">
        <v>432</v>
      </c>
      <c r="D29" s="1" t="s">
        <v>515</v>
      </c>
      <c r="E29" s="1" t="s">
        <v>516</v>
      </c>
      <c r="F29">
        <v>2006</v>
      </c>
      <c r="G29">
        <v>188293</v>
      </c>
      <c r="H29" t="s">
        <v>918</v>
      </c>
      <c r="I29" t="s">
        <v>870</v>
      </c>
      <c r="J29">
        <v>54</v>
      </c>
      <c r="K29" t="s">
        <v>879</v>
      </c>
      <c r="L29" t="b">
        <v>0</v>
      </c>
      <c r="M29" s="2">
        <v>46227.389108796298</v>
      </c>
      <c r="N29">
        <v>2026</v>
      </c>
    </row>
    <row r="30" spans="1:14" x14ac:dyDescent="0.25">
      <c r="A30" s="1" t="s">
        <v>570</v>
      </c>
      <c r="B30" s="1" t="s">
        <v>432</v>
      </c>
      <c r="C30" t="s">
        <v>432</v>
      </c>
      <c r="D30" s="1" t="s">
        <v>439</v>
      </c>
      <c r="E30" s="1" t="s">
        <v>440</v>
      </c>
      <c r="F30">
        <v>2014</v>
      </c>
      <c r="G30">
        <v>224040</v>
      </c>
      <c r="H30" t="s">
        <v>919</v>
      </c>
      <c r="I30" t="s">
        <v>870</v>
      </c>
      <c r="J30">
        <v>0</v>
      </c>
      <c r="K30" t="s">
        <v>878</v>
      </c>
      <c r="L30" t="b">
        <v>0</v>
      </c>
      <c r="M30" s="2">
        <v>46227.389108796298</v>
      </c>
      <c r="N30">
        <v>2026</v>
      </c>
    </row>
    <row r="31" spans="1:14" x14ac:dyDescent="0.25">
      <c r="A31" s="1" t="s">
        <v>575</v>
      </c>
      <c r="B31" s="1" t="s">
        <v>432</v>
      </c>
      <c r="C31" t="s">
        <v>432</v>
      </c>
      <c r="D31" s="1" t="s">
        <v>470</v>
      </c>
      <c r="E31" s="1" t="s">
        <v>471</v>
      </c>
      <c r="F31">
        <v>2016</v>
      </c>
      <c r="G31">
        <v>274440</v>
      </c>
      <c r="H31" t="s">
        <v>920</v>
      </c>
      <c r="I31" t="s">
        <v>868</v>
      </c>
      <c r="J31">
        <v>61</v>
      </c>
      <c r="K31" t="s">
        <v>876</v>
      </c>
      <c r="L31" t="b">
        <v>0</v>
      </c>
      <c r="M31" s="2">
        <v>46227.389108796298</v>
      </c>
      <c r="N31">
        <v>2026</v>
      </c>
    </row>
    <row r="32" spans="1:14" x14ac:dyDescent="0.25">
      <c r="A32" s="1" t="s">
        <v>576</v>
      </c>
      <c r="B32" s="1" t="s">
        <v>432</v>
      </c>
      <c r="C32" t="s">
        <v>432</v>
      </c>
      <c r="D32" s="1" t="s">
        <v>445</v>
      </c>
      <c r="E32" s="1" t="s">
        <v>446</v>
      </c>
      <c r="F32">
        <v>2019</v>
      </c>
      <c r="G32">
        <v>245573</v>
      </c>
      <c r="H32" t="s">
        <v>921</v>
      </c>
      <c r="I32" t="s">
        <v>868</v>
      </c>
      <c r="J32">
        <v>58</v>
      </c>
      <c r="K32" t="s">
        <v>879</v>
      </c>
      <c r="L32" t="b">
        <v>0</v>
      </c>
      <c r="M32" s="2">
        <v>46227.389108796298</v>
      </c>
      <c r="N32">
        <v>2026</v>
      </c>
    </row>
    <row r="33" spans="1:14" x14ac:dyDescent="0.25">
      <c r="A33" s="1" t="s">
        <v>577</v>
      </c>
      <c r="B33" s="1" t="s">
        <v>432</v>
      </c>
      <c r="C33" t="s">
        <v>432</v>
      </c>
      <c r="D33" s="1" t="s">
        <v>526</v>
      </c>
      <c r="E33" s="1" t="s">
        <v>127</v>
      </c>
      <c r="F33">
        <v>2005</v>
      </c>
      <c r="G33">
        <v>229960</v>
      </c>
      <c r="H33" t="s">
        <v>922</v>
      </c>
      <c r="I33" t="s">
        <v>870</v>
      </c>
      <c r="J33">
        <v>65</v>
      </c>
      <c r="K33" t="s">
        <v>876</v>
      </c>
      <c r="L33" t="b">
        <v>0</v>
      </c>
      <c r="M33" s="2">
        <v>46227.389108796298</v>
      </c>
      <c r="N33">
        <v>2026</v>
      </c>
    </row>
    <row r="34" spans="1:14" x14ac:dyDescent="0.25">
      <c r="A34" s="1" t="s">
        <v>578</v>
      </c>
      <c r="B34" s="1" t="s">
        <v>432</v>
      </c>
      <c r="C34" t="s">
        <v>432</v>
      </c>
      <c r="D34" s="1" t="s">
        <v>470</v>
      </c>
      <c r="E34" s="1" t="s">
        <v>471</v>
      </c>
      <c r="F34">
        <v>2016</v>
      </c>
      <c r="G34">
        <v>213786</v>
      </c>
      <c r="H34" t="s">
        <v>923</v>
      </c>
      <c r="I34" t="s">
        <v>870</v>
      </c>
      <c r="J34">
        <v>54</v>
      </c>
      <c r="K34" t="s">
        <v>879</v>
      </c>
      <c r="L34" t="b">
        <v>0</v>
      </c>
      <c r="M34" s="2">
        <v>46227.389108796298</v>
      </c>
      <c r="N34">
        <v>2026</v>
      </c>
    </row>
    <row r="35" spans="1:14" x14ac:dyDescent="0.25">
      <c r="A35" s="1" t="s">
        <v>579</v>
      </c>
      <c r="B35" s="1" t="s">
        <v>432</v>
      </c>
      <c r="C35" t="s">
        <v>432</v>
      </c>
      <c r="D35" s="1" t="s">
        <v>453</v>
      </c>
      <c r="E35" s="1" t="s">
        <v>454</v>
      </c>
      <c r="F35">
        <v>2017</v>
      </c>
      <c r="G35">
        <v>210600</v>
      </c>
      <c r="H35" t="s">
        <v>924</v>
      </c>
      <c r="I35" t="s">
        <v>870</v>
      </c>
      <c r="J35">
        <v>29</v>
      </c>
      <c r="K35" t="s">
        <v>877</v>
      </c>
      <c r="L35" t="b">
        <v>0</v>
      </c>
      <c r="M35" s="2">
        <v>46227.389108796298</v>
      </c>
      <c r="N35">
        <v>2026</v>
      </c>
    </row>
    <row r="36" spans="1:14" x14ac:dyDescent="0.25">
      <c r="A36" s="1" t="s">
        <v>580</v>
      </c>
      <c r="B36" s="1" t="s">
        <v>432</v>
      </c>
      <c r="C36" t="s">
        <v>432</v>
      </c>
      <c r="D36" s="1" t="s">
        <v>526</v>
      </c>
      <c r="E36" s="1" t="s">
        <v>127</v>
      </c>
      <c r="F36">
        <v>2005</v>
      </c>
      <c r="G36">
        <v>211680</v>
      </c>
      <c r="H36" t="s">
        <v>925</v>
      </c>
      <c r="I36" t="s">
        <v>870</v>
      </c>
      <c r="J36">
        <v>71</v>
      </c>
      <c r="K36" t="s">
        <v>876</v>
      </c>
      <c r="L36" t="b">
        <v>0</v>
      </c>
      <c r="M36" s="2">
        <v>46227.389108796298</v>
      </c>
      <c r="N36">
        <v>2026</v>
      </c>
    </row>
    <row r="37" spans="1:14" x14ac:dyDescent="0.25">
      <c r="A37" s="1" t="s">
        <v>453</v>
      </c>
      <c r="B37" s="1" t="s">
        <v>432</v>
      </c>
      <c r="C37" t="s">
        <v>432</v>
      </c>
      <c r="D37" s="1" t="s">
        <v>453</v>
      </c>
      <c r="E37" s="1" t="s">
        <v>454</v>
      </c>
      <c r="F37">
        <v>2017</v>
      </c>
      <c r="G37">
        <v>295680</v>
      </c>
      <c r="H37" t="s">
        <v>926</v>
      </c>
      <c r="I37" t="s">
        <v>868</v>
      </c>
      <c r="J37">
        <v>43</v>
      </c>
      <c r="K37" t="s">
        <v>879</v>
      </c>
      <c r="L37" t="b">
        <v>0</v>
      </c>
      <c r="M37" s="2">
        <v>46227.389108796298</v>
      </c>
      <c r="N37">
        <v>2026</v>
      </c>
    </row>
    <row r="38" spans="1:14" x14ac:dyDescent="0.25">
      <c r="A38" s="1" t="s">
        <v>591</v>
      </c>
      <c r="B38" s="1" t="s">
        <v>432</v>
      </c>
      <c r="C38" t="s">
        <v>432</v>
      </c>
      <c r="D38" s="1" t="s">
        <v>442</v>
      </c>
      <c r="E38" s="1" t="s">
        <v>443</v>
      </c>
      <c r="F38">
        <v>2018</v>
      </c>
      <c r="G38">
        <v>246840</v>
      </c>
      <c r="H38" t="s">
        <v>927</v>
      </c>
      <c r="I38" t="s">
        <v>868</v>
      </c>
      <c r="J38">
        <v>39</v>
      </c>
      <c r="K38" t="s">
        <v>877</v>
      </c>
      <c r="L38" t="b">
        <v>0</v>
      </c>
      <c r="M38" s="2">
        <v>46227.389108796298</v>
      </c>
      <c r="N38">
        <v>2026</v>
      </c>
    </row>
    <row r="39" spans="1:14" x14ac:dyDescent="0.25">
      <c r="A39" s="1" t="s">
        <v>597</v>
      </c>
      <c r="B39" s="1" t="s">
        <v>432</v>
      </c>
      <c r="C39" t="s">
        <v>432</v>
      </c>
      <c r="D39" s="1" t="s">
        <v>526</v>
      </c>
      <c r="E39" s="1" t="s">
        <v>127</v>
      </c>
      <c r="F39">
        <v>2005</v>
      </c>
      <c r="G39">
        <v>185480</v>
      </c>
      <c r="H39" t="s">
        <v>928</v>
      </c>
      <c r="I39" t="s">
        <v>870</v>
      </c>
      <c r="J39">
        <v>48</v>
      </c>
      <c r="K39" t="s">
        <v>879</v>
      </c>
      <c r="L39" t="b">
        <v>0</v>
      </c>
      <c r="M39" s="2">
        <v>46227.389108796298</v>
      </c>
      <c r="N39">
        <v>2026</v>
      </c>
    </row>
    <row r="40" spans="1:14" x14ac:dyDescent="0.25">
      <c r="A40" s="1" t="s">
        <v>610</v>
      </c>
      <c r="B40" s="1" t="s">
        <v>432</v>
      </c>
      <c r="C40" t="s">
        <v>432</v>
      </c>
      <c r="D40" s="1" t="s">
        <v>439</v>
      </c>
      <c r="E40" s="1" t="s">
        <v>440</v>
      </c>
      <c r="F40">
        <v>2014</v>
      </c>
      <c r="G40">
        <v>356106</v>
      </c>
      <c r="H40" t="s">
        <v>929</v>
      </c>
      <c r="I40" t="s">
        <v>871</v>
      </c>
      <c r="J40">
        <v>0</v>
      </c>
      <c r="K40" t="s">
        <v>878</v>
      </c>
      <c r="L40" t="b">
        <v>0</v>
      </c>
      <c r="M40" s="2">
        <v>46227.389108796298</v>
      </c>
      <c r="N40">
        <v>2026</v>
      </c>
    </row>
    <row r="41" spans="1:14" x14ac:dyDescent="0.25">
      <c r="A41" s="1" t="s">
        <v>611</v>
      </c>
      <c r="B41" s="1" t="s">
        <v>432</v>
      </c>
      <c r="C41" t="s">
        <v>432</v>
      </c>
      <c r="D41" s="1" t="s">
        <v>439</v>
      </c>
      <c r="E41" s="1" t="s">
        <v>440</v>
      </c>
      <c r="F41">
        <v>2014</v>
      </c>
      <c r="G41">
        <v>208826</v>
      </c>
      <c r="H41" t="s">
        <v>930</v>
      </c>
      <c r="I41" t="s">
        <v>870</v>
      </c>
      <c r="J41">
        <v>0</v>
      </c>
      <c r="K41" t="s">
        <v>878</v>
      </c>
      <c r="L41" t="b">
        <v>0</v>
      </c>
      <c r="M41" s="2">
        <v>46227.389108796298</v>
      </c>
      <c r="N41">
        <v>2026</v>
      </c>
    </row>
    <row r="42" spans="1:14" x14ac:dyDescent="0.25">
      <c r="A42" s="1" t="s">
        <v>612</v>
      </c>
      <c r="B42" s="1" t="s">
        <v>432</v>
      </c>
      <c r="C42" t="s">
        <v>432</v>
      </c>
      <c r="D42" s="1" t="s">
        <v>612</v>
      </c>
      <c r="E42" s="1" t="s">
        <v>613</v>
      </c>
      <c r="F42">
        <v>2019</v>
      </c>
      <c r="G42">
        <v>270773</v>
      </c>
      <c r="H42" t="s">
        <v>931</v>
      </c>
      <c r="I42" t="s">
        <v>868</v>
      </c>
      <c r="J42">
        <v>0</v>
      </c>
      <c r="K42" t="s">
        <v>878</v>
      </c>
      <c r="L42" t="b">
        <v>0</v>
      </c>
      <c r="M42" s="2">
        <v>46227.389108796298</v>
      </c>
      <c r="N42">
        <v>2026</v>
      </c>
    </row>
    <row r="43" spans="1:14" x14ac:dyDescent="0.25">
      <c r="A43" s="1" t="s">
        <v>614</v>
      </c>
      <c r="B43" s="1" t="s">
        <v>432</v>
      </c>
      <c r="C43" t="s">
        <v>432</v>
      </c>
      <c r="D43" s="1" t="s">
        <v>526</v>
      </c>
      <c r="E43" s="1" t="s">
        <v>127</v>
      </c>
      <c r="F43">
        <v>2005</v>
      </c>
      <c r="G43">
        <v>232373</v>
      </c>
      <c r="H43" t="s">
        <v>932</v>
      </c>
      <c r="I43" t="s">
        <v>870</v>
      </c>
      <c r="J43">
        <v>47</v>
      </c>
      <c r="K43" t="s">
        <v>879</v>
      </c>
      <c r="L43" t="b">
        <v>0</v>
      </c>
      <c r="M43" s="2">
        <v>46227.389108796298</v>
      </c>
      <c r="N43">
        <v>2026</v>
      </c>
    </row>
    <row r="44" spans="1:14" x14ac:dyDescent="0.25">
      <c r="A44" s="1" t="s">
        <v>615</v>
      </c>
      <c r="B44" s="1" t="s">
        <v>432</v>
      </c>
      <c r="C44" t="s">
        <v>432</v>
      </c>
      <c r="D44" s="1" t="s">
        <v>616</v>
      </c>
      <c r="E44" s="1" t="s">
        <v>617</v>
      </c>
      <c r="F44">
        <v>2010</v>
      </c>
      <c r="G44">
        <v>215946</v>
      </c>
      <c r="H44" t="s">
        <v>933</v>
      </c>
      <c r="I44" t="s">
        <v>870</v>
      </c>
      <c r="J44">
        <v>67</v>
      </c>
      <c r="K44" t="s">
        <v>876</v>
      </c>
      <c r="L44" t="b">
        <v>0</v>
      </c>
      <c r="M44" s="2">
        <v>46227.389108796298</v>
      </c>
      <c r="N44">
        <v>2026</v>
      </c>
    </row>
    <row r="45" spans="1:14" x14ac:dyDescent="0.25">
      <c r="A45" s="1" t="s">
        <v>636</v>
      </c>
      <c r="B45" s="1" t="s">
        <v>432</v>
      </c>
      <c r="C45" t="s">
        <v>432</v>
      </c>
      <c r="D45" s="1" t="s">
        <v>637</v>
      </c>
      <c r="E45" s="1" t="s">
        <v>638</v>
      </c>
      <c r="F45">
        <v>2009</v>
      </c>
      <c r="G45">
        <v>192453</v>
      </c>
      <c r="H45" t="s">
        <v>934</v>
      </c>
      <c r="I45" t="s">
        <v>870</v>
      </c>
      <c r="J45">
        <v>26</v>
      </c>
      <c r="K45" t="s">
        <v>877</v>
      </c>
      <c r="L45" t="b">
        <v>0</v>
      </c>
      <c r="M45" s="2">
        <v>46227.389108796298</v>
      </c>
      <c r="N45">
        <v>2026</v>
      </c>
    </row>
    <row r="46" spans="1:14" x14ac:dyDescent="0.25">
      <c r="A46" s="1" t="s">
        <v>640</v>
      </c>
      <c r="B46" s="1" t="s">
        <v>432</v>
      </c>
      <c r="C46" t="s">
        <v>432</v>
      </c>
      <c r="D46" s="1" t="s">
        <v>442</v>
      </c>
      <c r="E46" s="1" t="s">
        <v>443</v>
      </c>
      <c r="F46">
        <v>2018</v>
      </c>
      <c r="G46">
        <v>254053</v>
      </c>
      <c r="H46" t="s">
        <v>935</v>
      </c>
      <c r="I46" t="s">
        <v>868</v>
      </c>
      <c r="J46">
        <v>39</v>
      </c>
      <c r="K46" t="s">
        <v>877</v>
      </c>
      <c r="L46" t="b">
        <v>0</v>
      </c>
      <c r="M46" s="2">
        <v>46227.389108796298</v>
      </c>
      <c r="N46">
        <v>2026</v>
      </c>
    </row>
    <row r="47" spans="1:14" x14ac:dyDescent="0.25">
      <c r="A47" s="1" t="s">
        <v>641</v>
      </c>
      <c r="B47" s="1" t="s">
        <v>432</v>
      </c>
      <c r="C47" t="s">
        <v>432</v>
      </c>
      <c r="D47" s="1" t="s">
        <v>445</v>
      </c>
      <c r="E47" s="1" t="s">
        <v>446</v>
      </c>
      <c r="F47">
        <v>2019</v>
      </c>
      <c r="G47">
        <v>239280</v>
      </c>
      <c r="H47" t="s">
        <v>936</v>
      </c>
      <c r="I47" t="s">
        <v>870</v>
      </c>
      <c r="J47">
        <v>48</v>
      </c>
      <c r="K47" t="s">
        <v>879</v>
      </c>
      <c r="L47" t="b">
        <v>0</v>
      </c>
      <c r="M47" s="2">
        <v>46227.389108796298</v>
      </c>
      <c r="N47">
        <v>2026</v>
      </c>
    </row>
    <row r="48" spans="1:14" x14ac:dyDescent="0.25">
      <c r="A48" s="1" t="s">
        <v>654</v>
      </c>
      <c r="B48" s="1" t="s">
        <v>432</v>
      </c>
      <c r="C48" t="s">
        <v>432</v>
      </c>
      <c r="D48" s="1" t="s">
        <v>453</v>
      </c>
      <c r="E48" s="1" t="s">
        <v>454</v>
      </c>
      <c r="F48">
        <v>2017</v>
      </c>
      <c r="G48">
        <v>248346</v>
      </c>
      <c r="H48" t="s">
        <v>937</v>
      </c>
      <c r="I48" t="s">
        <v>868</v>
      </c>
      <c r="J48">
        <v>32</v>
      </c>
      <c r="K48" t="s">
        <v>877</v>
      </c>
      <c r="L48" t="b">
        <v>0</v>
      </c>
      <c r="M48" s="2">
        <v>46227.389108796298</v>
      </c>
      <c r="N48">
        <v>2026</v>
      </c>
    </row>
    <row r="49" spans="1:14" x14ac:dyDescent="0.25">
      <c r="A49" s="1" t="s">
        <v>486</v>
      </c>
      <c r="B49" s="1" t="s">
        <v>432</v>
      </c>
      <c r="C49" t="s">
        <v>432</v>
      </c>
      <c r="D49" s="1" t="s">
        <v>453</v>
      </c>
      <c r="E49" s="1" t="s">
        <v>454</v>
      </c>
      <c r="F49">
        <v>2017</v>
      </c>
      <c r="G49">
        <v>229308</v>
      </c>
      <c r="H49" t="s">
        <v>938</v>
      </c>
      <c r="I49" t="s">
        <v>870</v>
      </c>
      <c r="J49">
        <v>31</v>
      </c>
      <c r="K49" t="s">
        <v>877</v>
      </c>
      <c r="L49" t="b">
        <v>0</v>
      </c>
      <c r="M49" s="2">
        <v>46227.389108796298</v>
      </c>
      <c r="N49">
        <v>2026</v>
      </c>
    </row>
    <row r="50" spans="1:14" x14ac:dyDescent="0.25">
      <c r="A50" s="1" t="s">
        <v>655</v>
      </c>
      <c r="B50" s="1" t="s">
        <v>432</v>
      </c>
      <c r="C50" t="s">
        <v>432</v>
      </c>
      <c r="D50" s="1" t="s">
        <v>655</v>
      </c>
      <c r="E50" s="1" t="s">
        <v>656</v>
      </c>
      <c r="F50">
        <v>2023</v>
      </c>
      <c r="G50">
        <v>269135</v>
      </c>
      <c r="H50" t="s">
        <v>939</v>
      </c>
      <c r="I50" t="s">
        <v>868</v>
      </c>
      <c r="J50">
        <v>42</v>
      </c>
      <c r="K50" t="s">
        <v>879</v>
      </c>
      <c r="L50" t="b">
        <v>0</v>
      </c>
      <c r="M50" s="2">
        <v>46227.389108796298</v>
      </c>
      <c r="N50">
        <v>2026</v>
      </c>
    </row>
    <row r="51" spans="1:14" x14ac:dyDescent="0.25">
      <c r="A51" s="1" t="s">
        <v>11</v>
      </c>
      <c r="B51" s="1" t="s">
        <v>432</v>
      </c>
      <c r="C51" t="s">
        <v>432</v>
      </c>
      <c r="D51" s="1" t="s">
        <v>453</v>
      </c>
      <c r="E51" s="1" t="s">
        <v>454</v>
      </c>
      <c r="F51">
        <v>2017</v>
      </c>
      <c r="G51">
        <v>259146</v>
      </c>
      <c r="H51" t="s">
        <v>940</v>
      </c>
      <c r="I51" t="s">
        <v>868</v>
      </c>
      <c r="J51">
        <v>53</v>
      </c>
      <c r="K51" t="s">
        <v>879</v>
      </c>
      <c r="L51" t="b">
        <v>0</v>
      </c>
      <c r="M51" s="2">
        <v>46227.389108796298</v>
      </c>
      <c r="N51">
        <v>2026</v>
      </c>
    </row>
    <row r="52" spans="1:14" x14ac:dyDescent="0.25">
      <c r="A52" s="1" t="s">
        <v>657</v>
      </c>
      <c r="B52" s="1" t="s">
        <v>432</v>
      </c>
      <c r="C52" t="s">
        <v>432</v>
      </c>
      <c r="D52" s="1" t="s">
        <v>453</v>
      </c>
      <c r="E52" s="1" t="s">
        <v>454</v>
      </c>
      <c r="F52">
        <v>2017</v>
      </c>
      <c r="G52">
        <v>242840</v>
      </c>
      <c r="H52" t="s">
        <v>941</v>
      </c>
      <c r="I52" t="s">
        <v>868</v>
      </c>
      <c r="J52">
        <v>26</v>
      </c>
      <c r="K52" t="s">
        <v>877</v>
      </c>
      <c r="L52" t="b">
        <v>0</v>
      </c>
      <c r="M52" s="2">
        <v>46227.389108796298</v>
      </c>
      <c r="N52">
        <v>2026</v>
      </c>
    </row>
    <row r="53" spans="1:14" x14ac:dyDescent="0.25">
      <c r="A53" s="1" t="s">
        <v>658</v>
      </c>
      <c r="B53" s="1" t="s">
        <v>432</v>
      </c>
      <c r="C53" t="s">
        <v>432</v>
      </c>
      <c r="D53" s="1" t="s">
        <v>658</v>
      </c>
      <c r="E53" s="1" t="s">
        <v>28</v>
      </c>
      <c r="F53">
        <v>2018</v>
      </c>
      <c r="G53">
        <v>246677</v>
      </c>
      <c r="H53" t="s">
        <v>942</v>
      </c>
      <c r="I53" t="s">
        <v>868</v>
      </c>
      <c r="J53">
        <v>47</v>
      </c>
      <c r="K53" t="s">
        <v>879</v>
      </c>
      <c r="L53" t="b">
        <v>0</v>
      </c>
      <c r="M53" s="2">
        <v>46227.389108796298</v>
      </c>
      <c r="N53">
        <v>2026</v>
      </c>
    </row>
    <row r="54" spans="1:14" x14ac:dyDescent="0.25">
      <c r="A54" s="1" t="s">
        <v>659</v>
      </c>
      <c r="B54" s="1" t="s">
        <v>432</v>
      </c>
      <c r="C54" t="s">
        <v>432</v>
      </c>
      <c r="D54" s="1" t="s">
        <v>439</v>
      </c>
      <c r="E54" s="1" t="s">
        <v>440</v>
      </c>
      <c r="F54">
        <v>2014</v>
      </c>
      <c r="G54">
        <v>218746</v>
      </c>
      <c r="H54" t="s">
        <v>943</v>
      </c>
      <c r="I54" t="s">
        <v>870</v>
      </c>
      <c r="J54">
        <v>0</v>
      </c>
      <c r="K54" t="s">
        <v>878</v>
      </c>
      <c r="L54" t="b">
        <v>0</v>
      </c>
      <c r="M54" s="2">
        <v>46227.389108796298</v>
      </c>
      <c r="N54">
        <v>2026</v>
      </c>
    </row>
    <row r="55" spans="1:14" x14ac:dyDescent="0.25">
      <c r="A55" s="1" t="s">
        <v>542</v>
      </c>
      <c r="B55" s="1" t="s">
        <v>432</v>
      </c>
      <c r="C55" t="s">
        <v>432</v>
      </c>
      <c r="D55" s="1" t="s">
        <v>542</v>
      </c>
      <c r="E55" s="1" t="s">
        <v>292</v>
      </c>
      <c r="F55">
        <v>2021</v>
      </c>
      <c r="G55">
        <v>222706</v>
      </c>
      <c r="H55" t="s">
        <v>944</v>
      </c>
      <c r="I55" t="s">
        <v>870</v>
      </c>
      <c r="J55">
        <v>45</v>
      </c>
      <c r="K55" t="s">
        <v>879</v>
      </c>
      <c r="L55" t="b">
        <v>0</v>
      </c>
      <c r="M55" s="2">
        <v>46227.389108796298</v>
      </c>
      <c r="N55">
        <v>2026</v>
      </c>
    </row>
    <row r="56" spans="1:14" x14ac:dyDescent="0.25">
      <c r="A56" s="1" t="s">
        <v>660</v>
      </c>
      <c r="B56" s="1" t="s">
        <v>432</v>
      </c>
      <c r="C56" t="s">
        <v>432</v>
      </c>
      <c r="D56" s="1" t="s">
        <v>637</v>
      </c>
      <c r="E56" s="1" t="s">
        <v>638</v>
      </c>
      <c r="F56">
        <v>2009</v>
      </c>
      <c r="G56">
        <v>220906</v>
      </c>
      <c r="H56" t="s">
        <v>945</v>
      </c>
      <c r="I56" t="s">
        <v>870</v>
      </c>
      <c r="J56">
        <v>43</v>
      </c>
      <c r="K56" t="s">
        <v>879</v>
      </c>
      <c r="L56" t="b">
        <v>0</v>
      </c>
      <c r="M56" s="2">
        <v>46227.389108796298</v>
      </c>
      <c r="N56">
        <v>2026</v>
      </c>
    </row>
    <row r="57" spans="1:14" x14ac:dyDescent="0.25">
      <c r="A57" s="1" t="s">
        <v>661</v>
      </c>
      <c r="B57" s="1" t="s">
        <v>432</v>
      </c>
      <c r="C57" t="s">
        <v>432</v>
      </c>
      <c r="D57" s="1" t="s">
        <v>542</v>
      </c>
      <c r="E57" s="1" t="s">
        <v>292</v>
      </c>
      <c r="F57">
        <v>2021</v>
      </c>
      <c r="G57">
        <v>258600</v>
      </c>
      <c r="H57" t="s">
        <v>946</v>
      </c>
      <c r="I57" t="s">
        <v>868</v>
      </c>
      <c r="J57">
        <v>44</v>
      </c>
      <c r="K57" t="s">
        <v>879</v>
      </c>
      <c r="L57" t="b">
        <v>0</v>
      </c>
      <c r="M57" s="2">
        <v>46227.389108796298</v>
      </c>
      <c r="N57">
        <v>2026</v>
      </c>
    </row>
    <row r="58" spans="1:14" x14ac:dyDescent="0.25">
      <c r="A58" s="1" t="s">
        <v>662</v>
      </c>
      <c r="B58" s="1" t="s">
        <v>432</v>
      </c>
      <c r="C58" t="s">
        <v>432</v>
      </c>
      <c r="D58" s="1" t="s">
        <v>616</v>
      </c>
      <c r="E58" s="1" t="s">
        <v>617</v>
      </c>
      <c r="F58">
        <v>2010</v>
      </c>
      <c r="G58">
        <v>225760</v>
      </c>
      <c r="H58" t="s">
        <v>947</v>
      </c>
      <c r="I58" t="s">
        <v>870</v>
      </c>
      <c r="J58">
        <v>33</v>
      </c>
      <c r="K58" t="s">
        <v>877</v>
      </c>
      <c r="L58" t="b">
        <v>0</v>
      </c>
      <c r="M58" s="2">
        <v>46227.389108796298</v>
      </c>
      <c r="N58">
        <v>2026</v>
      </c>
    </row>
    <row r="59" spans="1:14" x14ac:dyDescent="0.25">
      <c r="A59" s="1" t="s">
        <v>666</v>
      </c>
      <c r="B59" s="1" t="s">
        <v>432</v>
      </c>
      <c r="C59" t="s">
        <v>432</v>
      </c>
      <c r="D59" s="1" t="s">
        <v>442</v>
      </c>
      <c r="E59" s="1" t="s">
        <v>443</v>
      </c>
      <c r="F59">
        <v>2018</v>
      </c>
      <c r="G59">
        <v>322866</v>
      </c>
      <c r="H59" t="s">
        <v>948</v>
      </c>
      <c r="I59" t="s">
        <v>871</v>
      </c>
      <c r="J59">
        <v>37</v>
      </c>
      <c r="K59" t="s">
        <v>877</v>
      </c>
      <c r="L59" t="b">
        <v>0</v>
      </c>
      <c r="M59" s="2">
        <v>46227.389108796298</v>
      </c>
      <c r="N59">
        <v>2026</v>
      </c>
    </row>
    <row r="60" spans="1:14" x14ac:dyDescent="0.25">
      <c r="A60" s="1" t="s">
        <v>668</v>
      </c>
      <c r="B60" s="1" t="s">
        <v>432</v>
      </c>
      <c r="C60" t="s">
        <v>432</v>
      </c>
      <c r="D60" s="1" t="s">
        <v>515</v>
      </c>
      <c r="E60" s="1" t="s">
        <v>516</v>
      </c>
      <c r="F60">
        <v>2006</v>
      </c>
      <c r="G60">
        <v>211960</v>
      </c>
      <c r="H60" t="s">
        <v>949</v>
      </c>
      <c r="I60" t="s">
        <v>870</v>
      </c>
      <c r="J60">
        <v>57</v>
      </c>
      <c r="K60" t="s">
        <v>879</v>
      </c>
      <c r="L60" t="b">
        <v>0</v>
      </c>
      <c r="M60" s="2">
        <v>46227.389108796298</v>
      </c>
      <c r="N60">
        <v>2026</v>
      </c>
    </row>
    <row r="61" spans="1:14" x14ac:dyDescent="0.25">
      <c r="A61" s="1" t="s">
        <v>669</v>
      </c>
      <c r="B61" s="1" t="s">
        <v>432</v>
      </c>
      <c r="C61" t="s">
        <v>432</v>
      </c>
      <c r="D61" s="1" t="s">
        <v>445</v>
      </c>
      <c r="E61" s="1" t="s">
        <v>446</v>
      </c>
      <c r="F61">
        <v>2019</v>
      </c>
      <c r="G61">
        <v>276253</v>
      </c>
      <c r="H61" t="s">
        <v>950</v>
      </c>
      <c r="I61" t="s">
        <v>868</v>
      </c>
      <c r="J61">
        <v>46</v>
      </c>
      <c r="K61" t="s">
        <v>879</v>
      </c>
      <c r="L61" t="b">
        <v>0</v>
      </c>
      <c r="M61" s="2">
        <v>46227.389108796298</v>
      </c>
      <c r="N61">
        <v>2026</v>
      </c>
    </row>
    <row r="62" spans="1:14" x14ac:dyDescent="0.25">
      <c r="A62" s="1" t="s">
        <v>670</v>
      </c>
      <c r="B62" s="1" t="s">
        <v>432</v>
      </c>
      <c r="C62" t="s">
        <v>432</v>
      </c>
      <c r="D62" s="1" t="s">
        <v>616</v>
      </c>
      <c r="E62" s="1" t="s">
        <v>617</v>
      </c>
      <c r="F62">
        <v>2010</v>
      </c>
      <c r="G62">
        <v>239946</v>
      </c>
      <c r="H62" t="s">
        <v>951</v>
      </c>
      <c r="I62" t="s">
        <v>870</v>
      </c>
      <c r="J62">
        <v>49</v>
      </c>
      <c r="K62" t="s">
        <v>879</v>
      </c>
      <c r="L62" t="b">
        <v>0</v>
      </c>
      <c r="M62" s="2">
        <v>46227.389108796298</v>
      </c>
      <c r="N62">
        <v>2026</v>
      </c>
    </row>
    <row r="63" spans="1:14" x14ac:dyDescent="0.25">
      <c r="A63" s="1" t="s">
        <v>677</v>
      </c>
      <c r="B63" s="1" t="s">
        <v>432</v>
      </c>
      <c r="C63" t="s">
        <v>432</v>
      </c>
      <c r="D63" s="1" t="s">
        <v>678</v>
      </c>
      <c r="E63" s="1" t="s">
        <v>679</v>
      </c>
      <c r="F63">
        <v>2007</v>
      </c>
      <c r="G63">
        <v>219280</v>
      </c>
      <c r="H63" t="s">
        <v>952</v>
      </c>
      <c r="I63" t="s">
        <v>870</v>
      </c>
      <c r="J63">
        <v>40</v>
      </c>
      <c r="K63" t="s">
        <v>877</v>
      </c>
      <c r="L63" t="b">
        <v>0</v>
      </c>
      <c r="M63" s="2">
        <v>46227.389108796298</v>
      </c>
      <c r="N63">
        <v>2026</v>
      </c>
    </row>
    <row r="64" spans="1:14" x14ac:dyDescent="0.25">
      <c r="A64" s="1" t="s">
        <v>683</v>
      </c>
      <c r="B64" s="1" t="s">
        <v>432</v>
      </c>
      <c r="C64" t="s">
        <v>432</v>
      </c>
      <c r="D64" s="1" t="s">
        <v>445</v>
      </c>
      <c r="E64" s="1" t="s">
        <v>446</v>
      </c>
      <c r="F64">
        <v>2019</v>
      </c>
      <c r="G64">
        <v>182773</v>
      </c>
      <c r="H64" t="s">
        <v>953</v>
      </c>
      <c r="I64" t="s">
        <v>870</v>
      </c>
      <c r="J64">
        <v>44</v>
      </c>
      <c r="K64" t="s">
        <v>879</v>
      </c>
      <c r="L64" t="b">
        <v>0</v>
      </c>
      <c r="M64" s="2">
        <v>46227.389108796298</v>
      </c>
      <c r="N64">
        <v>2026</v>
      </c>
    </row>
    <row r="65" spans="1:14" x14ac:dyDescent="0.25">
      <c r="A65" s="1" t="s">
        <v>684</v>
      </c>
      <c r="B65" s="1" t="s">
        <v>432</v>
      </c>
      <c r="C65" t="s">
        <v>432</v>
      </c>
      <c r="D65" s="1" t="s">
        <v>453</v>
      </c>
      <c r="E65" s="1" t="s">
        <v>454</v>
      </c>
      <c r="F65">
        <v>2017</v>
      </c>
      <c r="G65">
        <v>222423</v>
      </c>
      <c r="H65" t="s">
        <v>954</v>
      </c>
      <c r="I65" t="s">
        <v>870</v>
      </c>
      <c r="J65">
        <v>50</v>
      </c>
      <c r="K65" t="s">
        <v>879</v>
      </c>
      <c r="L65" t="b">
        <v>0</v>
      </c>
      <c r="M65" s="2">
        <v>46227.389108796298</v>
      </c>
      <c r="N65">
        <v>2026</v>
      </c>
    </row>
    <row r="66" spans="1:14" x14ac:dyDescent="0.25">
      <c r="A66" s="1" t="s">
        <v>692</v>
      </c>
      <c r="B66" s="1" t="s">
        <v>432</v>
      </c>
      <c r="C66" t="s">
        <v>432</v>
      </c>
      <c r="D66" s="1" t="s">
        <v>692</v>
      </c>
      <c r="E66" s="1" t="s">
        <v>693</v>
      </c>
      <c r="F66">
        <v>2008</v>
      </c>
      <c r="G66">
        <v>169160</v>
      </c>
      <c r="H66" t="s">
        <v>955</v>
      </c>
      <c r="I66" t="s">
        <v>869</v>
      </c>
      <c r="J66">
        <v>51</v>
      </c>
      <c r="K66" t="s">
        <v>879</v>
      </c>
      <c r="L66" t="b">
        <v>0</v>
      </c>
      <c r="M66" s="2">
        <v>46227.389108796298</v>
      </c>
      <c r="N66">
        <v>2026</v>
      </c>
    </row>
    <row r="67" spans="1:14" x14ac:dyDescent="0.25">
      <c r="A67" s="1" t="s">
        <v>694</v>
      </c>
      <c r="B67" s="1" t="s">
        <v>432</v>
      </c>
      <c r="C67" t="s">
        <v>432</v>
      </c>
      <c r="D67" s="1" t="s">
        <v>678</v>
      </c>
      <c r="E67" s="1" t="s">
        <v>679</v>
      </c>
      <c r="F67">
        <v>2007</v>
      </c>
      <c r="G67">
        <v>208786</v>
      </c>
      <c r="H67" t="s">
        <v>956</v>
      </c>
      <c r="I67" t="s">
        <v>870</v>
      </c>
      <c r="J67">
        <v>45</v>
      </c>
      <c r="K67" t="s">
        <v>879</v>
      </c>
      <c r="L67" t="b">
        <v>0</v>
      </c>
      <c r="M67" s="2">
        <v>46227.389108796298</v>
      </c>
      <c r="N67">
        <v>2026</v>
      </c>
    </row>
    <row r="68" spans="1:14" x14ac:dyDescent="0.25">
      <c r="A68" s="1" t="s">
        <v>695</v>
      </c>
      <c r="B68" s="1" t="s">
        <v>432</v>
      </c>
      <c r="C68" t="s">
        <v>432</v>
      </c>
      <c r="D68" s="1" t="s">
        <v>542</v>
      </c>
      <c r="E68" s="1" t="s">
        <v>292</v>
      </c>
      <c r="F68">
        <v>2021</v>
      </c>
      <c r="G68">
        <v>212186</v>
      </c>
      <c r="H68" t="s">
        <v>957</v>
      </c>
      <c r="I68" t="s">
        <v>870</v>
      </c>
      <c r="J68">
        <v>44</v>
      </c>
      <c r="K68" t="s">
        <v>879</v>
      </c>
      <c r="L68" t="b">
        <v>0</v>
      </c>
      <c r="M68" s="2">
        <v>46227.389108796298</v>
      </c>
      <c r="N68">
        <v>2026</v>
      </c>
    </row>
    <row r="69" spans="1:14" x14ac:dyDescent="0.25">
      <c r="A69" s="1" t="s">
        <v>697</v>
      </c>
      <c r="B69" s="1" t="s">
        <v>432</v>
      </c>
      <c r="C69" t="s">
        <v>432</v>
      </c>
      <c r="D69" s="1" t="s">
        <v>616</v>
      </c>
      <c r="E69" s="1" t="s">
        <v>617</v>
      </c>
      <c r="F69">
        <v>2010</v>
      </c>
      <c r="G69">
        <v>233426</v>
      </c>
      <c r="H69" t="s">
        <v>958</v>
      </c>
      <c r="I69" t="s">
        <v>870</v>
      </c>
      <c r="J69">
        <v>35</v>
      </c>
      <c r="K69" t="s">
        <v>877</v>
      </c>
      <c r="L69" t="b">
        <v>0</v>
      </c>
      <c r="M69" s="2">
        <v>46227.389108796298</v>
      </c>
      <c r="N69">
        <v>2026</v>
      </c>
    </row>
    <row r="70" spans="1:14" x14ac:dyDescent="0.25">
      <c r="A70" s="1" t="s">
        <v>702</v>
      </c>
      <c r="B70" s="1" t="s">
        <v>432</v>
      </c>
      <c r="C70" t="s">
        <v>432</v>
      </c>
      <c r="D70" s="1" t="s">
        <v>453</v>
      </c>
      <c r="E70" s="1" t="s">
        <v>454</v>
      </c>
      <c r="F70">
        <v>2017</v>
      </c>
      <c r="G70">
        <v>238786</v>
      </c>
      <c r="H70" t="s">
        <v>959</v>
      </c>
      <c r="I70" t="s">
        <v>870</v>
      </c>
      <c r="J70">
        <v>23</v>
      </c>
      <c r="K70" t="s">
        <v>877</v>
      </c>
      <c r="L70" t="b">
        <v>0</v>
      </c>
      <c r="M70" s="2">
        <v>46227.389108796298</v>
      </c>
      <c r="N70">
        <v>2026</v>
      </c>
    </row>
    <row r="71" spans="1:14" x14ac:dyDescent="0.25">
      <c r="A71" s="1" t="s">
        <v>703</v>
      </c>
      <c r="B71" s="1" t="s">
        <v>432</v>
      </c>
      <c r="C71" t="s">
        <v>432</v>
      </c>
      <c r="D71" s="1" t="s">
        <v>616</v>
      </c>
      <c r="E71" s="1" t="s">
        <v>617</v>
      </c>
      <c r="F71">
        <v>2010</v>
      </c>
      <c r="G71">
        <v>224186</v>
      </c>
      <c r="H71" t="s">
        <v>960</v>
      </c>
      <c r="I71" t="s">
        <v>870</v>
      </c>
      <c r="J71">
        <v>47</v>
      </c>
      <c r="K71" t="s">
        <v>879</v>
      </c>
      <c r="L71" t="b">
        <v>0</v>
      </c>
      <c r="M71" s="2">
        <v>46227.389108796298</v>
      </c>
      <c r="N71">
        <v>2026</v>
      </c>
    </row>
    <row r="72" spans="1:14" x14ac:dyDescent="0.25">
      <c r="A72" s="1" t="s">
        <v>714</v>
      </c>
      <c r="B72" s="1" t="s">
        <v>432</v>
      </c>
      <c r="C72" t="s">
        <v>432</v>
      </c>
      <c r="D72" s="1" t="s">
        <v>700</v>
      </c>
      <c r="E72" s="1" t="s">
        <v>701</v>
      </c>
      <c r="F72">
        <v>2023</v>
      </c>
      <c r="G72">
        <v>223524</v>
      </c>
      <c r="H72" t="s">
        <v>961</v>
      </c>
      <c r="I72" t="s">
        <v>870</v>
      </c>
      <c r="J72">
        <v>36</v>
      </c>
      <c r="K72" t="s">
        <v>877</v>
      </c>
      <c r="L72" t="b">
        <v>0</v>
      </c>
      <c r="M72" s="2">
        <v>46227.389108796298</v>
      </c>
      <c r="N72">
        <v>2026</v>
      </c>
    </row>
    <row r="73" spans="1:14" x14ac:dyDescent="0.25">
      <c r="A73" s="1" t="s">
        <v>715</v>
      </c>
      <c r="B73" s="1" t="s">
        <v>432</v>
      </c>
      <c r="C73" t="s">
        <v>432</v>
      </c>
      <c r="D73" s="1" t="s">
        <v>700</v>
      </c>
      <c r="E73" s="1" t="s">
        <v>701</v>
      </c>
      <c r="F73">
        <v>2023</v>
      </c>
      <c r="G73">
        <v>223872</v>
      </c>
      <c r="H73" t="s">
        <v>962</v>
      </c>
      <c r="I73" t="s">
        <v>870</v>
      </c>
      <c r="J73">
        <v>34</v>
      </c>
      <c r="K73" t="s">
        <v>877</v>
      </c>
      <c r="L73" t="b">
        <v>0</v>
      </c>
      <c r="M73" s="2">
        <v>46227.389108796298</v>
      </c>
      <c r="N73">
        <v>2026</v>
      </c>
    </row>
    <row r="74" spans="1:14" x14ac:dyDescent="0.25">
      <c r="A74" s="1" t="s">
        <v>716</v>
      </c>
      <c r="B74" s="1" t="s">
        <v>432</v>
      </c>
      <c r="C74" t="s">
        <v>432</v>
      </c>
      <c r="D74" s="1" t="s">
        <v>717</v>
      </c>
      <c r="E74" s="1" t="s">
        <v>718</v>
      </c>
      <c r="F74">
        <v>2006</v>
      </c>
      <c r="G74">
        <v>191600</v>
      </c>
      <c r="H74" t="s">
        <v>963</v>
      </c>
      <c r="I74" t="s">
        <v>870</v>
      </c>
      <c r="J74">
        <v>39</v>
      </c>
      <c r="K74" t="s">
        <v>877</v>
      </c>
      <c r="L74" t="b">
        <v>0</v>
      </c>
      <c r="M74" s="2">
        <v>46227.389108796298</v>
      </c>
      <c r="N74">
        <v>2026</v>
      </c>
    </row>
    <row r="75" spans="1:14" x14ac:dyDescent="0.25">
      <c r="A75" s="1" t="s">
        <v>719</v>
      </c>
      <c r="B75" s="1" t="s">
        <v>432</v>
      </c>
      <c r="C75" t="s">
        <v>432</v>
      </c>
      <c r="D75" s="1" t="s">
        <v>515</v>
      </c>
      <c r="E75" s="1" t="s">
        <v>516</v>
      </c>
      <c r="F75">
        <v>2006</v>
      </c>
      <c r="G75">
        <v>191240</v>
      </c>
      <c r="H75" t="s">
        <v>964</v>
      </c>
      <c r="I75" t="s">
        <v>870</v>
      </c>
      <c r="J75">
        <v>57</v>
      </c>
      <c r="K75" t="s">
        <v>879</v>
      </c>
      <c r="L75" t="b">
        <v>0</v>
      </c>
      <c r="M75" s="2">
        <v>46227.389108796298</v>
      </c>
      <c r="N75">
        <v>2026</v>
      </c>
    </row>
    <row r="76" spans="1:14" x14ac:dyDescent="0.25">
      <c r="A76" s="1" t="s">
        <v>724</v>
      </c>
      <c r="B76" s="1" t="s">
        <v>432</v>
      </c>
      <c r="C76" t="s">
        <v>432</v>
      </c>
      <c r="D76" s="1" t="s">
        <v>637</v>
      </c>
      <c r="E76" s="1" t="s">
        <v>638</v>
      </c>
      <c r="F76">
        <v>2009</v>
      </c>
      <c r="G76">
        <v>211760</v>
      </c>
      <c r="H76" t="s">
        <v>965</v>
      </c>
      <c r="I76" t="s">
        <v>870</v>
      </c>
      <c r="J76">
        <v>40</v>
      </c>
      <c r="K76" t="s">
        <v>877</v>
      </c>
      <c r="L76" t="b">
        <v>0</v>
      </c>
      <c r="M76" s="2">
        <v>46227.389108796298</v>
      </c>
      <c r="N76">
        <v>2026</v>
      </c>
    </row>
    <row r="77" spans="1:14" x14ac:dyDescent="0.25">
      <c r="A77" s="1" t="s">
        <v>725</v>
      </c>
      <c r="B77" s="1" t="s">
        <v>432</v>
      </c>
      <c r="C77" t="s">
        <v>432</v>
      </c>
      <c r="D77" s="1" t="s">
        <v>526</v>
      </c>
      <c r="E77" s="1" t="s">
        <v>127</v>
      </c>
      <c r="F77">
        <v>2005</v>
      </c>
      <c r="G77">
        <v>188786</v>
      </c>
      <c r="H77" t="s">
        <v>966</v>
      </c>
      <c r="I77" t="s">
        <v>870</v>
      </c>
      <c r="J77">
        <v>41</v>
      </c>
      <c r="K77" t="s">
        <v>879</v>
      </c>
      <c r="L77" t="b">
        <v>0</v>
      </c>
      <c r="M77" s="2">
        <v>46227.389108796298</v>
      </c>
      <c r="N77">
        <v>2026</v>
      </c>
    </row>
    <row r="78" spans="1:14" x14ac:dyDescent="0.25">
      <c r="A78" s="1" t="s">
        <v>726</v>
      </c>
      <c r="B78" s="1" t="s">
        <v>432</v>
      </c>
      <c r="C78" t="s">
        <v>432</v>
      </c>
      <c r="D78" s="1" t="s">
        <v>678</v>
      </c>
      <c r="E78" s="1" t="s">
        <v>679</v>
      </c>
      <c r="F78">
        <v>2007</v>
      </c>
      <c r="G78">
        <v>221026</v>
      </c>
      <c r="H78" t="s">
        <v>967</v>
      </c>
      <c r="I78" t="s">
        <v>870</v>
      </c>
      <c r="J78">
        <v>28</v>
      </c>
      <c r="K78" t="s">
        <v>877</v>
      </c>
      <c r="L78" t="b">
        <v>0</v>
      </c>
      <c r="M78" s="2">
        <v>46227.389108796298</v>
      </c>
      <c r="N78">
        <v>2026</v>
      </c>
    </row>
    <row r="79" spans="1:14" x14ac:dyDescent="0.25">
      <c r="A79" s="1" t="s">
        <v>727</v>
      </c>
      <c r="B79" s="1" t="s">
        <v>432</v>
      </c>
      <c r="C79" t="s">
        <v>432</v>
      </c>
      <c r="D79" s="1" t="s">
        <v>637</v>
      </c>
      <c r="E79" s="1" t="s">
        <v>638</v>
      </c>
      <c r="F79">
        <v>2009</v>
      </c>
      <c r="G79">
        <v>244720</v>
      </c>
      <c r="H79" t="s">
        <v>968</v>
      </c>
      <c r="I79" t="s">
        <v>868</v>
      </c>
      <c r="J79">
        <v>39</v>
      </c>
      <c r="K79" t="s">
        <v>877</v>
      </c>
      <c r="L79" t="b">
        <v>0</v>
      </c>
      <c r="M79" s="2">
        <v>46227.389108796298</v>
      </c>
      <c r="N79">
        <v>2026</v>
      </c>
    </row>
    <row r="80" spans="1:14" x14ac:dyDescent="0.25">
      <c r="A80" s="1" t="s">
        <v>737</v>
      </c>
      <c r="B80" s="1" t="s">
        <v>432</v>
      </c>
      <c r="C80" t="s">
        <v>432</v>
      </c>
      <c r="D80" s="1" t="s">
        <v>637</v>
      </c>
      <c r="E80" s="1" t="s">
        <v>638</v>
      </c>
      <c r="F80">
        <v>2009</v>
      </c>
      <c r="G80">
        <v>227920</v>
      </c>
      <c r="H80" t="s">
        <v>969</v>
      </c>
      <c r="I80" t="s">
        <v>870</v>
      </c>
      <c r="J80">
        <v>31</v>
      </c>
      <c r="K80" t="s">
        <v>877</v>
      </c>
      <c r="L80" t="b">
        <v>0</v>
      </c>
      <c r="M80" s="2">
        <v>46227.389108796298</v>
      </c>
      <c r="N80">
        <v>2026</v>
      </c>
    </row>
    <row r="81" spans="1:14" x14ac:dyDescent="0.25">
      <c r="A81" s="1" t="s">
        <v>738</v>
      </c>
      <c r="B81" s="1" t="s">
        <v>432</v>
      </c>
      <c r="C81" t="s">
        <v>432</v>
      </c>
      <c r="D81" s="1" t="s">
        <v>616</v>
      </c>
      <c r="E81" s="1" t="s">
        <v>617</v>
      </c>
      <c r="F81">
        <v>2010</v>
      </c>
      <c r="G81">
        <v>235573</v>
      </c>
      <c r="H81" t="s">
        <v>970</v>
      </c>
      <c r="I81" t="s">
        <v>870</v>
      </c>
      <c r="J81">
        <v>36</v>
      </c>
      <c r="K81" t="s">
        <v>877</v>
      </c>
      <c r="L81" t="b">
        <v>0</v>
      </c>
      <c r="M81" s="2">
        <v>46227.389108796298</v>
      </c>
      <c r="N81">
        <v>2026</v>
      </c>
    </row>
    <row r="82" spans="1:14" x14ac:dyDescent="0.25">
      <c r="A82" s="1" t="s">
        <v>739</v>
      </c>
      <c r="B82" s="1" t="s">
        <v>432</v>
      </c>
      <c r="C82" t="s">
        <v>432</v>
      </c>
      <c r="D82" s="1" t="s">
        <v>453</v>
      </c>
      <c r="E82" s="1" t="s">
        <v>454</v>
      </c>
      <c r="F82">
        <v>2017</v>
      </c>
      <c r="G82">
        <v>248720</v>
      </c>
      <c r="H82" t="s">
        <v>971</v>
      </c>
      <c r="I82" t="s">
        <v>868</v>
      </c>
      <c r="J82">
        <v>24</v>
      </c>
      <c r="K82" t="s">
        <v>877</v>
      </c>
      <c r="L82" t="b">
        <v>0</v>
      </c>
      <c r="M82" s="2">
        <v>46227.389108796298</v>
      </c>
      <c r="N82">
        <v>2026</v>
      </c>
    </row>
    <row r="83" spans="1:14" x14ac:dyDescent="0.25">
      <c r="A83" s="1" t="s">
        <v>740</v>
      </c>
      <c r="B83" s="1" t="s">
        <v>432</v>
      </c>
      <c r="C83" t="s">
        <v>432</v>
      </c>
      <c r="D83" s="1" t="s">
        <v>453</v>
      </c>
      <c r="E83" s="1" t="s">
        <v>454</v>
      </c>
      <c r="F83">
        <v>2017</v>
      </c>
      <c r="G83">
        <v>243600</v>
      </c>
      <c r="H83" t="s">
        <v>972</v>
      </c>
      <c r="I83" t="s">
        <v>868</v>
      </c>
      <c r="J83">
        <v>27</v>
      </c>
      <c r="K83" t="s">
        <v>877</v>
      </c>
      <c r="L83" t="b">
        <v>0</v>
      </c>
      <c r="M83" s="2">
        <v>46227.389108796298</v>
      </c>
      <c r="N83">
        <v>2026</v>
      </c>
    </row>
    <row r="84" spans="1:14" x14ac:dyDescent="0.25">
      <c r="A84" s="1" t="s">
        <v>741</v>
      </c>
      <c r="B84" s="1" t="s">
        <v>432</v>
      </c>
      <c r="C84" t="s">
        <v>432</v>
      </c>
      <c r="D84" s="1" t="s">
        <v>453</v>
      </c>
      <c r="E84" s="1" t="s">
        <v>454</v>
      </c>
      <c r="F84">
        <v>2017</v>
      </c>
      <c r="G84">
        <v>232666</v>
      </c>
      <c r="H84" t="s">
        <v>973</v>
      </c>
      <c r="I84" t="s">
        <v>870</v>
      </c>
      <c r="J84">
        <v>19</v>
      </c>
      <c r="K84" t="s">
        <v>878</v>
      </c>
      <c r="L84" t="b">
        <v>0</v>
      </c>
      <c r="M84" s="2">
        <v>46227.389108796298</v>
      </c>
      <c r="N84">
        <v>2026</v>
      </c>
    </row>
    <row r="85" spans="1:14" x14ac:dyDescent="0.25">
      <c r="A85" s="1" t="s">
        <v>742</v>
      </c>
      <c r="B85" s="1" t="s">
        <v>432</v>
      </c>
      <c r="C85" t="s">
        <v>432</v>
      </c>
      <c r="D85" s="1" t="s">
        <v>678</v>
      </c>
      <c r="E85" s="1" t="s">
        <v>679</v>
      </c>
      <c r="F85">
        <v>2007</v>
      </c>
      <c r="G85">
        <v>177600</v>
      </c>
      <c r="H85" t="s">
        <v>974</v>
      </c>
      <c r="I85" t="s">
        <v>869</v>
      </c>
      <c r="J85">
        <v>37</v>
      </c>
      <c r="K85" t="s">
        <v>877</v>
      </c>
      <c r="L85" t="b">
        <v>0</v>
      </c>
      <c r="M85" s="2">
        <v>46227.389108796298</v>
      </c>
      <c r="N85">
        <v>2026</v>
      </c>
    </row>
    <row r="86" spans="1:14" x14ac:dyDescent="0.25">
      <c r="A86" s="1" t="s">
        <v>743</v>
      </c>
      <c r="B86" s="1" t="s">
        <v>432</v>
      </c>
      <c r="C86" t="s">
        <v>432</v>
      </c>
      <c r="D86" s="1" t="s">
        <v>637</v>
      </c>
      <c r="E86" s="1" t="s">
        <v>638</v>
      </c>
      <c r="F86">
        <v>2009</v>
      </c>
      <c r="G86">
        <v>205720</v>
      </c>
      <c r="H86" t="s">
        <v>975</v>
      </c>
      <c r="I86" t="s">
        <v>870</v>
      </c>
      <c r="J86">
        <v>40</v>
      </c>
      <c r="K86" t="s">
        <v>877</v>
      </c>
      <c r="L86" t="b">
        <v>0</v>
      </c>
      <c r="M86" s="2">
        <v>46227.389108796298</v>
      </c>
      <c r="N86">
        <v>2026</v>
      </c>
    </row>
    <row r="87" spans="1:14" x14ac:dyDescent="0.25">
      <c r="A87" s="1" t="s">
        <v>744</v>
      </c>
      <c r="B87" s="1" t="s">
        <v>432</v>
      </c>
      <c r="C87" t="s">
        <v>432</v>
      </c>
      <c r="D87" s="1" t="s">
        <v>526</v>
      </c>
      <c r="E87" s="1" t="s">
        <v>127</v>
      </c>
      <c r="F87">
        <v>2005</v>
      </c>
      <c r="G87">
        <v>190346</v>
      </c>
      <c r="H87" t="s">
        <v>976</v>
      </c>
      <c r="I87" t="s">
        <v>870</v>
      </c>
      <c r="J87">
        <v>39</v>
      </c>
      <c r="K87" t="s">
        <v>877</v>
      </c>
      <c r="L87" t="b">
        <v>0</v>
      </c>
      <c r="M87" s="2">
        <v>46227.389108796298</v>
      </c>
      <c r="N87">
        <v>2026</v>
      </c>
    </row>
    <row r="88" spans="1:14" x14ac:dyDescent="0.25">
      <c r="A88" s="1" t="s">
        <v>750</v>
      </c>
      <c r="B88" s="1" t="s">
        <v>432</v>
      </c>
      <c r="C88" t="s">
        <v>432</v>
      </c>
      <c r="D88" s="1" t="s">
        <v>717</v>
      </c>
      <c r="E88" s="1" t="s">
        <v>718</v>
      </c>
      <c r="F88">
        <v>2006</v>
      </c>
      <c r="G88">
        <v>258466</v>
      </c>
      <c r="H88" t="s">
        <v>977</v>
      </c>
      <c r="I88" t="s">
        <v>868</v>
      </c>
      <c r="J88">
        <v>41</v>
      </c>
      <c r="K88" t="s">
        <v>879</v>
      </c>
      <c r="L88" t="b">
        <v>0</v>
      </c>
      <c r="M88" s="2">
        <v>46227.389108796298</v>
      </c>
      <c r="N88">
        <v>2026</v>
      </c>
    </row>
    <row r="89" spans="1:14" x14ac:dyDescent="0.25">
      <c r="A89" s="1" t="s">
        <v>754</v>
      </c>
      <c r="B89" s="1" t="s">
        <v>432</v>
      </c>
      <c r="C89" t="s">
        <v>432</v>
      </c>
      <c r="D89" s="1" t="s">
        <v>453</v>
      </c>
      <c r="E89" s="1" t="s">
        <v>454</v>
      </c>
      <c r="F89">
        <v>2017</v>
      </c>
      <c r="G89">
        <v>187586</v>
      </c>
      <c r="H89" t="s">
        <v>978</v>
      </c>
      <c r="I89" t="s">
        <v>870</v>
      </c>
      <c r="J89">
        <v>26</v>
      </c>
      <c r="K89" t="s">
        <v>877</v>
      </c>
      <c r="L89" t="b">
        <v>0</v>
      </c>
      <c r="M89" s="2">
        <v>46227.389108796298</v>
      </c>
      <c r="N89">
        <v>2026</v>
      </c>
    </row>
    <row r="90" spans="1:14" x14ac:dyDescent="0.25">
      <c r="A90" s="1" t="s">
        <v>768</v>
      </c>
      <c r="B90" s="1" t="s">
        <v>432</v>
      </c>
      <c r="C90" t="s">
        <v>432</v>
      </c>
      <c r="D90" s="1" t="s">
        <v>470</v>
      </c>
      <c r="E90" s="1" t="s">
        <v>471</v>
      </c>
      <c r="F90">
        <v>2016</v>
      </c>
      <c r="G90">
        <v>243133</v>
      </c>
      <c r="H90" t="s">
        <v>979</v>
      </c>
      <c r="I90" t="s">
        <v>868</v>
      </c>
      <c r="J90">
        <v>37</v>
      </c>
      <c r="K90" t="s">
        <v>877</v>
      </c>
      <c r="L90" t="b">
        <v>0</v>
      </c>
      <c r="M90" s="2">
        <v>46227.389108796298</v>
      </c>
      <c r="N90">
        <v>2026</v>
      </c>
    </row>
    <row r="91" spans="1:14" x14ac:dyDescent="0.25">
      <c r="A91" s="1" t="s">
        <v>769</v>
      </c>
      <c r="B91" s="1" t="s">
        <v>432</v>
      </c>
      <c r="C91" t="s">
        <v>432</v>
      </c>
      <c r="D91" s="1" t="s">
        <v>470</v>
      </c>
      <c r="E91" s="1" t="s">
        <v>471</v>
      </c>
      <c r="F91">
        <v>2016</v>
      </c>
      <c r="G91">
        <v>251240</v>
      </c>
      <c r="H91" t="s">
        <v>980</v>
      </c>
      <c r="I91" t="s">
        <v>868</v>
      </c>
      <c r="J91">
        <v>36</v>
      </c>
      <c r="K91" t="s">
        <v>877</v>
      </c>
      <c r="L91" t="b">
        <v>0</v>
      </c>
      <c r="M91" s="2">
        <v>46227.389108796298</v>
      </c>
      <c r="N91">
        <v>2026</v>
      </c>
    </row>
    <row r="92" spans="1:14" x14ac:dyDescent="0.25">
      <c r="A92" s="1" t="s">
        <v>770</v>
      </c>
      <c r="B92" s="1" t="s">
        <v>432</v>
      </c>
      <c r="C92" t="s">
        <v>432</v>
      </c>
      <c r="D92" s="1" t="s">
        <v>453</v>
      </c>
      <c r="E92" s="1" t="s">
        <v>454</v>
      </c>
      <c r="F92">
        <v>2017</v>
      </c>
      <c r="G92">
        <v>223693</v>
      </c>
      <c r="H92" t="s">
        <v>981</v>
      </c>
      <c r="I92" t="s">
        <v>870</v>
      </c>
      <c r="J92">
        <v>24</v>
      </c>
      <c r="K92" t="s">
        <v>877</v>
      </c>
      <c r="L92" t="b">
        <v>0</v>
      </c>
      <c r="M92" s="2">
        <v>46227.389108796298</v>
      </c>
      <c r="N92">
        <v>2026</v>
      </c>
    </row>
    <row r="93" spans="1:14" x14ac:dyDescent="0.25">
      <c r="A93" s="1" t="s">
        <v>771</v>
      </c>
      <c r="B93" s="1" t="s">
        <v>432</v>
      </c>
      <c r="C93" t="s">
        <v>432</v>
      </c>
      <c r="D93" s="1" t="s">
        <v>453</v>
      </c>
      <c r="E93" s="1" t="s">
        <v>454</v>
      </c>
      <c r="F93">
        <v>2017</v>
      </c>
      <c r="G93">
        <v>178600</v>
      </c>
      <c r="H93" t="s">
        <v>982</v>
      </c>
      <c r="I93" t="s">
        <v>869</v>
      </c>
      <c r="J93">
        <v>23</v>
      </c>
      <c r="K93" t="s">
        <v>877</v>
      </c>
      <c r="L93" t="b">
        <v>0</v>
      </c>
      <c r="M93" s="2">
        <v>46227.389108796298</v>
      </c>
      <c r="N93">
        <v>2026</v>
      </c>
    </row>
    <row r="94" spans="1:14" x14ac:dyDescent="0.25">
      <c r="A94" s="1" t="s">
        <v>772</v>
      </c>
      <c r="B94" s="1" t="s">
        <v>432</v>
      </c>
      <c r="C94" t="s">
        <v>432</v>
      </c>
      <c r="D94" s="1" t="s">
        <v>453</v>
      </c>
      <c r="E94" s="1" t="s">
        <v>454</v>
      </c>
      <c r="F94">
        <v>2017</v>
      </c>
      <c r="G94">
        <v>172400</v>
      </c>
      <c r="H94" t="s">
        <v>983</v>
      </c>
      <c r="I94" t="s">
        <v>869</v>
      </c>
      <c r="J94">
        <v>20</v>
      </c>
      <c r="K94" t="s">
        <v>878</v>
      </c>
      <c r="L94" t="b">
        <v>0</v>
      </c>
      <c r="M94" s="2">
        <v>46227.389108796298</v>
      </c>
      <c r="N94">
        <v>2026</v>
      </c>
    </row>
    <row r="95" spans="1:14" x14ac:dyDescent="0.25">
      <c r="A95" s="1" t="s">
        <v>785</v>
      </c>
      <c r="B95" s="1" t="s">
        <v>432</v>
      </c>
      <c r="C95" t="s">
        <v>432</v>
      </c>
      <c r="D95" s="1" t="s">
        <v>526</v>
      </c>
      <c r="E95" s="1" t="s">
        <v>127</v>
      </c>
      <c r="F95">
        <v>2005</v>
      </c>
      <c r="G95">
        <v>233133</v>
      </c>
      <c r="H95" t="s">
        <v>984</v>
      </c>
      <c r="I95" t="s">
        <v>870</v>
      </c>
      <c r="J95">
        <v>43</v>
      </c>
      <c r="K95" t="s">
        <v>879</v>
      </c>
      <c r="L95" t="b">
        <v>0</v>
      </c>
      <c r="M95" s="2">
        <v>46227.389108796298</v>
      </c>
      <c r="N95">
        <v>2026</v>
      </c>
    </row>
    <row r="96" spans="1:14" x14ac:dyDescent="0.25">
      <c r="A96" s="1" t="s">
        <v>786</v>
      </c>
      <c r="B96" s="1" t="s">
        <v>432</v>
      </c>
      <c r="C96" t="s">
        <v>432</v>
      </c>
      <c r="D96" s="1" t="s">
        <v>526</v>
      </c>
      <c r="E96" s="1" t="s">
        <v>127</v>
      </c>
      <c r="F96">
        <v>2005</v>
      </c>
      <c r="G96">
        <v>163573</v>
      </c>
      <c r="H96" t="s">
        <v>985</v>
      </c>
      <c r="I96" t="s">
        <v>869</v>
      </c>
      <c r="J96">
        <v>40</v>
      </c>
      <c r="K96" t="s">
        <v>877</v>
      </c>
      <c r="L96" t="b">
        <v>0</v>
      </c>
      <c r="M96" s="2">
        <v>46227.389108796298</v>
      </c>
      <c r="N96">
        <v>2026</v>
      </c>
    </row>
    <row r="97" spans="1:14" x14ac:dyDescent="0.25">
      <c r="A97" s="1" t="s">
        <v>787</v>
      </c>
      <c r="B97" s="1" t="s">
        <v>432</v>
      </c>
      <c r="C97" t="s">
        <v>432</v>
      </c>
      <c r="D97" s="1" t="s">
        <v>526</v>
      </c>
      <c r="E97" s="1" t="s">
        <v>127</v>
      </c>
      <c r="F97">
        <v>2005</v>
      </c>
      <c r="G97">
        <v>234666</v>
      </c>
      <c r="H97" t="s">
        <v>986</v>
      </c>
      <c r="I97" t="s">
        <v>870</v>
      </c>
      <c r="J97">
        <v>42</v>
      </c>
      <c r="K97" t="s">
        <v>879</v>
      </c>
      <c r="L97" t="b">
        <v>0</v>
      </c>
      <c r="M97" s="2">
        <v>46227.389108796298</v>
      </c>
      <c r="N97">
        <v>2026</v>
      </c>
    </row>
    <row r="98" spans="1:14" x14ac:dyDescent="0.25">
      <c r="A98" s="1" t="s">
        <v>788</v>
      </c>
      <c r="B98" s="1" t="s">
        <v>432</v>
      </c>
      <c r="C98" t="s">
        <v>432</v>
      </c>
      <c r="D98" s="1" t="s">
        <v>526</v>
      </c>
      <c r="E98" s="1" t="s">
        <v>127</v>
      </c>
      <c r="F98">
        <v>2005</v>
      </c>
      <c r="G98">
        <v>202066</v>
      </c>
      <c r="H98" t="s">
        <v>987</v>
      </c>
      <c r="I98" t="s">
        <v>870</v>
      </c>
      <c r="J98">
        <v>39</v>
      </c>
      <c r="K98" t="s">
        <v>877</v>
      </c>
      <c r="L98" t="b">
        <v>0</v>
      </c>
      <c r="M98" s="2">
        <v>46227.389108796298</v>
      </c>
      <c r="N98">
        <v>2026</v>
      </c>
    </row>
    <row r="99" spans="1:14" x14ac:dyDescent="0.25">
      <c r="A99" s="1" t="s">
        <v>812</v>
      </c>
      <c r="B99" s="1" t="s">
        <v>432</v>
      </c>
      <c r="C99" t="s">
        <v>432</v>
      </c>
      <c r="D99" s="1" t="s">
        <v>616</v>
      </c>
      <c r="E99" s="1" t="s">
        <v>617</v>
      </c>
      <c r="F99">
        <v>2010</v>
      </c>
      <c r="G99">
        <v>258266</v>
      </c>
      <c r="H99" t="s">
        <v>988</v>
      </c>
      <c r="I99" t="s">
        <v>868</v>
      </c>
      <c r="J99">
        <v>42</v>
      </c>
      <c r="K99" t="s">
        <v>879</v>
      </c>
      <c r="L99" t="b">
        <v>0</v>
      </c>
      <c r="M99" s="2">
        <v>46227.389108796298</v>
      </c>
      <c r="N99">
        <v>2026</v>
      </c>
    </row>
    <row r="100" spans="1:14" x14ac:dyDescent="0.25">
      <c r="A100" s="1" t="s">
        <v>825</v>
      </c>
      <c r="B100" s="1" t="s">
        <v>432</v>
      </c>
      <c r="C100" t="s">
        <v>432</v>
      </c>
      <c r="D100" s="1" t="s">
        <v>486</v>
      </c>
      <c r="E100" s="1" t="s">
        <v>487</v>
      </c>
      <c r="F100">
        <v>2012</v>
      </c>
      <c r="G100">
        <v>309773</v>
      </c>
      <c r="H100" t="s">
        <v>989</v>
      </c>
      <c r="I100" t="s">
        <v>871</v>
      </c>
      <c r="J100">
        <v>46</v>
      </c>
      <c r="K100" t="s">
        <v>879</v>
      </c>
      <c r="L100" t="b">
        <v>0</v>
      </c>
      <c r="M100" s="2">
        <v>46227.389108796298</v>
      </c>
      <c r="N100">
        <v>2026</v>
      </c>
    </row>
    <row r="101" spans="1:14" x14ac:dyDescent="0.25">
      <c r="A101" s="1" t="s">
        <v>830</v>
      </c>
      <c r="B101" s="1" t="s">
        <v>432</v>
      </c>
      <c r="C101" t="s">
        <v>432</v>
      </c>
      <c r="D101" s="1" t="s">
        <v>637</v>
      </c>
      <c r="E101" s="1" t="s">
        <v>638</v>
      </c>
      <c r="F101">
        <v>2009</v>
      </c>
      <c r="G101">
        <v>288626</v>
      </c>
      <c r="H101" t="s">
        <v>990</v>
      </c>
      <c r="I101" t="s">
        <v>868</v>
      </c>
      <c r="J101">
        <v>35</v>
      </c>
      <c r="K101" t="s">
        <v>877</v>
      </c>
      <c r="L101" t="b">
        <v>0</v>
      </c>
      <c r="M101" s="2">
        <v>46227.389108796298</v>
      </c>
      <c r="N101">
        <v>2026</v>
      </c>
    </row>
    <row r="102" spans="1:14" x14ac:dyDescent="0.25">
      <c r="A102" s="1" t="s">
        <v>831</v>
      </c>
      <c r="B102" s="1" t="s">
        <v>432</v>
      </c>
      <c r="C102" t="s">
        <v>432</v>
      </c>
      <c r="D102" s="1" t="s">
        <v>491</v>
      </c>
      <c r="E102" s="1" t="s">
        <v>492</v>
      </c>
      <c r="F102">
        <v>2008</v>
      </c>
      <c r="G102">
        <v>249746</v>
      </c>
      <c r="H102" t="s">
        <v>991</v>
      </c>
      <c r="I102" t="s">
        <v>868</v>
      </c>
      <c r="J102">
        <v>42</v>
      </c>
      <c r="K102" t="s">
        <v>879</v>
      </c>
      <c r="L102" t="b">
        <v>0</v>
      </c>
      <c r="M102" s="2">
        <v>46227.389108796298</v>
      </c>
      <c r="N102">
        <v>2026</v>
      </c>
    </row>
    <row r="103" spans="1:14" x14ac:dyDescent="0.25">
      <c r="A103" s="1" t="s">
        <v>834</v>
      </c>
      <c r="B103" s="1" t="s">
        <v>432</v>
      </c>
      <c r="C103" t="s">
        <v>432</v>
      </c>
      <c r="D103" s="1" t="s">
        <v>835</v>
      </c>
      <c r="E103" s="1" t="s">
        <v>836</v>
      </c>
      <c r="F103">
        <v>2026</v>
      </c>
      <c r="G103">
        <v>217120</v>
      </c>
      <c r="H103" t="s">
        <v>992</v>
      </c>
      <c r="I103" t="s">
        <v>870</v>
      </c>
      <c r="J103">
        <v>59</v>
      </c>
      <c r="K103" t="s">
        <v>879</v>
      </c>
      <c r="L103" t="b">
        <v>0</v>
      </c>
      <c r="M103" s="2">
        <v>46227.389108796298</v>
      </c>
      <c r="N103">
        <v>2026</v>
      </c>
    </row>
    <row r="104" spans="1:14" x14ac:dyDescent="0.25">
      <c r="A104" s="1" t="s">
        <v>431</v>
      </c>
      <c r="B104" s="1" t="s">
        <v>432</v>
      </c>
      <c r="C104" t="s">
        <v>432</v>
      </c>
      <c r="D104" s="1" t="s">
        <v>835</v>
      </c>
      <c r="E104" s="1" t="s">
        <v>836</v>
      </c>
      <c r="F104">
        <v>2026</v>
      </c>
      <c r="G104">
        <v>305466</v>
      </c>
      <c r="H104" t="s">
        <v>993</v>
      </c>
      <c r="I104" t="s">
        <v>871</v>
      </c>
      <c r="J104">
        <v>55</v>
      </c>
      <c r="K104" t="s">
        <v>879</v>
      </c>
      <c r="L104" t="b">
        <v>0</v>
      </c>
      <c r="M104" s="2">
        <v>46227.389108796298</v>
      </c>
      <c r="N104">
        <v>2026</v>
      </c>
    </row>
    <row r="105" spans="1:14" x14ac:dyDescent="0.25">
      <c r="A105" s="1" t="s">
        <v>837</v>
      </c>
      <c r="B105" s="1" t="s">
        <v>432</v>
      </c>
      <c r="C105" t="s">
        <v>432</v>
      </c>
      <c r="D105" s="1" t="s">
        <v>835</v>
      </c>
      <c r="E105" s="1" t="s">
        <v>836</v>
      </c>
      <c r="F105">
        <v>2026</v>
      </c>
      <c r="G105">
        <v>231210</v>
      </c>
      <c r="H105" t="s">
        <v>994</v>
      </c>
      <c r="I105" t="s">
        <v>870</v>
      </c>
      <c r="J105">
        <v>56</v>
      </c>
      <c r="K105" t="s">
        <v>879</v>
      </c>
      <c r="L105" t="b">
        <v>0</v>
      </c>
      <c r="M105" s="2">
        <v>46227.389108796298</v>
      </c>
      <c r="N105">
        <v>2026</v>
      </c>
    </row>
    <row r="106" spans="1:14" x14ac:dyDescent="0.25">
      <c r="A106" s="1" t="s">
        <v>838</v>
      </c>
      <c r="B106" s="1" t="s">
        <v>432</v>
      </c>
      <c r="C106" t="s">
        <v>432</v>
      </c>
      <c r="D106" s="1" t="s">
        <v>835</v>
      </c>
      <c r="E106" s="1" t="s">
        <v>836</v>
      </c>
      <c r="F106">
        <v>2026</v>
      </c>
      <c r="G106">
        <v>245173</v>
      </c>
      <c r="H106" t="s">
        <v>995</v>
      </c>
      <c r="I106" t="s">
        <v>868</v>
      </c>
      <c r="J106">
        <v>56</v>
      </c>
      <c r="K106" t="s">
        <v>879</v>
      </c>
      <c r="L106" t="b">
        <v>0</v>
      </c>
      <c r="M106" s="2">
        <v>46227.389108796298</v>
      </c>
      <c r="N106">
        <v>2026</v>
      </c>
    </row>
    <row r="107" spans="1:14" x14ac:dyDescent="0.25">
      <c r="A107" s="1" t="s">
        <v>436</v>
      </c>
      <c r="B107" s="1" t="s">
        <v>432</v>
      </c>
      <c r="C107" t="s">
        <v>432</v>
      </c>
      <c r="D107" s="1" t="s">
        <v>835</v>
      </c>
      <c r="E107" s="1" t="s">
        <v>836</v>
      </c>
      <c r="F107">
        <v>2026</v>
      </c>
      <c r="G107">
        <v>212960</v>
      </c>
      <c r="H107" t="s">
        <v>996</v>
      </c>
      <c r="I107" t="s">
        <v>870</v>
      </c>
      <c r="J107">
        <v>55</v>
      </c>
      <c r="K107" t="s">
        <v>879</v>
      </c>
      <c r="L107" t="b">
        <v>0</v>
      </c>
      <c r="M107" s="2">
        <v>46227.389108796298</v>
      </c>
      <c r="N107">
        <v>2026</v>
      </c>
    </row>
    <row r="108" spans="1:14" x14ac:dyDescent="0.25">
      <c r="A108" s="1" t="s">
        <v>839</v>
      </c>
      <c r="B108" s="1" t="s">
        <v>432</v>
      </c>
      <c r="C108" t="s">
        <v>432</v>
      </c>
      <c r="D108" s="1" t="s">
        <v>835</v>
      </c>
      <c r="E108" s="1" t="s">
        <v>836</v>
      </c>
      <c r="F108">
        <v>2026</v>
      </c>
      <c r="G108">
        <v>249994</v>
      </c>
      <c r="H108" t="s">
        <v>997</v>
      </c>
      <c r="I108" t="s">
        <v>868</v>
      </c>
      <c r="J108">
        <v>54</v>
      </c>
      <c r="K108" t="s">
        <v>879</v>
      </c>
      <c r="L108" t="b">
        <v>0</v>
      </c>
      <c r="M108" s="2">
        <v>46227.389108796298</v>
      </c>
      <c r="N108">
        <v>2026</v>
      </c>
    </row>
    <row r="109" spans="1:14" x14ac:dyDescent="0.25">
      <c r="A109" s="1" t="s">
        <v>840</v>
      </c>
      <c r="B109" s="1" t="s">
        <v>432</v>
      </c>
      <c r="C109" t="s">
        <v>432</v>
      </c>
      <c r="D109" s="1" t="s">
        <v>835</v>
      </c>
      <c r="E109" s="1" t="s">
        <v>836</v>
      </c>
      <c r="F109">
        <v>2026</v>
      </c>
      <c r="G109">
        <v>255808</v>
      </c>
      <c r="H109" t="s">
        <v>998</v>
      </c>
      <c r="I109" t="s">
        <v>868</v>
      </c>
      <c r="J109">
        <v>54</v>
      </c>
      <c r="K109" t="s">
        <v>879</v>
      </c>
      <c r="L109" t="b">
        <v>0</v>
      </c>
      <c r="M109" s="2">
        <v>46227.389108796298</v>
      </c>
      <c r="N109">
        <v>2026</v>
      </c>
    </row>
    <row r="110" spans="1:14" x14ac:dyDescent="0.25">
      <c r="A110" s="1" t="s">
        <v>841</v>
      </c>
      <c r="B110" s="1" t="s">
        <v>432</v>
      </c>
      <c r="C110" t="s">
        <v>432</v>
      </c>
      <c r="D110" s="1" t="s">
        <v>835</v>
      </c>
      <c r="E110" s="1" t="s">
        <v>836</v>
      </c>
      <c r="F110">
        <v>2026</v>
      </c>
      <c r="G110">
        <v>236842</v>
      </c>
      <c r="H110" t="s">
        <v>999</v>
      </c>
      <c r="I110" t="s">
        <v>870</v>
      </c>
      <c r="J110">
        <v>51</v>
      </c>
      <c r="K110" t="s">
        <v>879</v>
      </c>
      <c r="L110" t="b">
        <v>0</v>
      </c>
      <c r="M110" s="2">
        <v>46227.389108796298</v>
      </c>
      <c r="N110">
        <v>2026</v>
      </c>
    </row>
    <row r="111" spans="1:14" x14ac:dyDescent="0.25">
      <c r="A111" s="1" t="s">
        <v>434</v>
      </c>
      <c r="B111" s="1" t="s">
        <v>432</v>
      </c>
      <c r="C111" t="s">
        <v>432</v>
      </c>
      <c r="D111" s="1" t="s">
        <v>835</v>
      </c>
      <c r="E111" s="1" t="s">
        <v>836</v>
      </c>
      <c r="F111">
        <v>2026</v>
      </c>
      <c r="G111">
        <v>245378</v>
      </c>
      <c r="H111" t="s">
        <v>1000</v>
      </c>
      <c r="I111" t="s">
        <v>868</v>
      </c>
      <c r="J111">
        <v>52</v>
      </c>
      <c r="K111" t="s">
        <v>879</v>
      </c>
      <c r="L111" t="b">
        <v>0</v>
      </c>
      <c r="M111" s="2">
        <v>46227.389108796298</v>
      </c>
      <c r="N111">
        <v>2026</v>
      </c>
    </row>
    <row r="112" spans="1:14" x14ac:dyDescent="0.25">
      <c r="A112" s="1" t="s">
        <v>842</v>
      </c>
      <c r="B112" s="1" t="s">
        <v>432</v>
      </c>
      <c r="C112" t="s">
        <v>432</v>
      </c>
      <c r="D112" s="1" t="s">
        <v>835</v>
      </c>
      <c r="E112" s="1" t="s">
        <v>836</v>
      </c>
      <c r="F112">
        <v>2026</v>
      </c>
      <c r="G112">
        <v>286613</v>
      </c>
      <c r="H112" t="s">
        <v>1001</v>
      </c>
      <c r="I112" t="s">
        <v>868</v>
      </c>
      <c r="J112">
        <v>51</v>
      </c>
      <c r="K112" t="s">
        <v>879</v>
      </c>
      <c r="L112" t="b">
        <v>0</v>
      </c>
      <c r="M112" s="2">
        <v>46227.389108796298</v>
      </c>
      <c r="N112">
        <v>2026</v>
      </c>
    </row>
    <row r="113" spans="1:14" x14ac:dyDescent="0.25">
      <c r="A113" s="1" t="s">
        <v>843</v>
      </c>
      <c r="B113" s="1" t="s">
        <v>432</v>
      </c>
      <c r="C113" t="s">
        <v>432</v>
      </c>
      <c r="D113" s="1" t="s">
        <v>835</v>
      </c>
      <c r="E113" s="1" t="s">
        <v>836</v>
      </c>
      <c r="F113">
        <v>2026</v>
      </c>
      <c r="G113">
        <v>283424</v>
      </c>
      <c r="H113" t="s">
        <v>1002</v>
      </c>
      <c r="I113" t="s">
        <v>868</v>
      </c>
      <c r="J113">
        <v>50</v>
      </c>
      <c r="K113" t="s">
        <v>879</v>
      </c>
      <c r="L113" t="b">
        <v>0</v>
      </c>
      <c r="M113" s="2">
        <v>46227.389108796298</v>
      </c>
      <c r="N113">
        <v>2026</v>
      </c>
    </row>
    <row r="114" spans="1:14" x14ac:dyDescent="0.25">
      <c r="A114" s="1" t="s">
        <v>847</v>
      </c>
      <c r="B114" s="1" t="s">
        <v>432</v>
      </c>
      <c r="C114" t="s">
        <v>432</v>
      </c>
      <c r="D114" s="1" t="s">
        <v>439</v>
      </c>
      <c r="E114" s="1" t="s">
        <v>440</v>
      </c>
      <c r="F114">
        <v>2014</v>
      </c>
      <c r="G114">
        <v>205066</v>
      </c>
      <c r="H114" t="s">
        <v>1003</v>
      </c>
      <c r="I114" t="s">
        <v>870</v>
      </c>
      <c r="J114">
        <v>40</v>
      </c>
      <c r="K114" t="s">
        <v>877</v>
      </c>
      <c r="L114" t="b">
        <v>0</v>
      </c>
      <c r="M114" s="2">
        <v>46227.389108796298</v>
      </c>
      <c r="N114">
        <v>2026</v>
      </c>
    </row>
    <row r="115" spans="1:14" x14ac:dyDescent="0.25">
      <c r="A115" s="1" t="s">
        <v>848</v>
      </c>
      <c r="B115" s="1" t="s">
        <v>432</v>
      </c>
      <c r="C115" t="s">
        <v>432</v>
      </c>
      <c r="D115" s="1" t="s">
        <v>453</v>
      </c>
      <c r="E115" s="1" t="s">
        <v>454</v>
      </c>
      <c r="F115">
        <v>2017</v>
      </c>
      <c r="G115">
        <v>184549</v>
      </c>
      <c r="H115" t="s">
        <v>1004</v>
      </c>
      <c r="I115" t="s">
        <v>870</v>
      </c>
      <c r="J115">
        <v>21</v>
      </c>
      <c r="K115" t="s">
        <v>877</v>
      </c>
      <c r="L115" t="b">
        <v>0</v>
      </c>
      <c r="M115" s="2">
        <v>46227.389108796298</v>
      </c>
      <c r="N115">
        <v>2026</v>
      </c>
    </row>
    <row r="116" spans="1:14" x14ac:dyDescent="0.25">
      <c r="A116" s="1" t="s">
        <v>849</v>
      </c>
      <c r="B116" s="1" t="s">
        <v>432</v>
      </c>
      <c r="C116" t="s">
        <v>432</v>
      </c>
      <c r="D116" s="1" t="s">
        <v>453</v>
      </c>
      <c r="E116" s="1" t="s">
        <v>454</v>
      </c>
      <c r="F116">
        <v>2017</v>
      </c>
      <c r="G116">
        <v>257786</v>
      </c>
      <c r="H116" t="s">
        <v>1005</v>
      </c>
      <c r="I116" t="s">
        <v>868</v>
      </c>
      <c r="J116">
        <v>20</v>
      </c>
      <c r="K116" t="s">
        <v>878</v>
      </c>
      <c r="L116" t="b">
        <v>0</v>
      </c>
      <c r="M116" s="2">
        <v>46227.389108796298</v>
      </c>
      <c r="N116">
        <v>2026</v>
      </c>
    </row>
    <row r="117" spans="1:14" x14ac:dyDescent="0.25">
      <c r="A117" s="1" t="s">
        <v>850</v>
      </c>
      <c r="B117" s="1" t="s">
        <v>432</v>
      </c>
      <c r="C117" t="s">
        <v>432</v>
      </c>
      <c r="D117" s="1" t="s">
        <v>851</v>
      </c>
      <c r="E117" s="1" t="s">
        <v>96</v>
      </c>
      <c r="F117">
        <v>2015</v>
      </c>
      <c r="G117">
        <v>329146</v>
      </c>
      <c r="H117" t="s">
        <v>1006</v>
      </c>
      <c r="I117" t="s">
        <v>871</v>
      </c>
      <c r="J117">
        <v>38</v>
      </c>
      <c r="K117" t="s">
        <v>877</v>
      </c>
      <c r="L117" t="b">
        <v>0</v>
      </c>
      <c r="M117" s="2">
        <v>46227.389108796298</v>
      </c>
      <c r="N117">
        <v>2026</v>
      </c>
    </row>
    <row r="118" spans="1:14" x14ac:dyDescent="0.25">
      <c r="A118" s="1" t="s">
        <v>852</v>
      </c>
      <c r="B118" s="1" t="s">
        <v>432</v>
      </c>
      <c r="C118" t="s">
        <v>432</v>
      </c>
      <c r="D118" s="1" t="s">
        <v>453</v>
      </c>
      <c r="E118" s="1" t="s">
        <v>454</v>
      </c>
      <c r="F118">
        <v>2017</v>
      </c>
      <c r="G118">
        <v>228253</v>
      </c>
      <c r="H118" t="s">
        <v>1007</v>
      </c>
      <c r="I118" t="s">
        <v>870</v>
      </c>
      <c r="J118">
        <v>19</v>
      </c>
      <c r="K118" t="s">
        <v>878</v>
      </c>
      <c r="L118" t="b">
        <v>0</v>
      </c>
      <c r="M118" s="2">
        <v>46227.389108796298</v>
      </c>
      <c r="N118">
        <v>2026</v>
      </c>
    </row>
    <row r="119" spans="1:14" x14ac:dyDescent="0.25">
      <c r="A119" s="1" t="s">
        <v>853</v>
      </c>
      <c r="B119" s="1" t="s">
        <v>432</v>
      </c>
      <c r="C119" t="s">
        <v>432</v>
      </c>
      <c r="D119" s="1" t="s">
        <v>854</v>
      </c>
      <c r="E119" s="1" t="s">
        <v>487</v>
      </c>
      <c r="F119">
        <v>2012</v>
      </c>
      <c r="G119">
        <v>241503</v>
      </c>
      <c r="H119" t="s">
        <v>1008</v>
      </c>
      <c r="I119" t="s">
        <v>868</v>
      </c>
      <c r="J119">
        <v>12</v>
      </c>
      <c r="K119" t="s">
        <v>878</v>
      </c>
      <c r="L119" t="b">
        <v>0</v>
      </c>
      <c r="M119" s="2">
        <v>46227.389108796298</v>
      </c>
      <c r="N119">
        <v>2026</v>
      </c>
    </row>
    <row r="120" spans="1:14" x14ac:dyDescent="0.25">
      <c r="A120" s="1" t="s">
        <v>855</v>
      </c>
      <c r="B120" s="1" t="s">
        <v>432</v>
      </c>
      <c r="C120" t="s">
        <v>432</v>
      </c>
      <c r="D120" s="1" t="s">
        <v>854</v>
      </c>
      <c r="E120" s="1" t="s">
        <v>487</v>
      </c>
      <c r="F120">
        <v>2012</v>
      </c>
      <c r="G120">
        <v>226369</v>
      </c>
      <c r="H120" t="s">
        <v>1009</v>
      </c>
      <c r="I120" t="s">
        <v>870</v>
      </c>
      <c r="J120">
        <v>11</v>
      </c>
      <c r="K120" t="s">
        <v>878</v>
      </c>
      <c r="L120" t="b">
        <v>0</v>
      </c>
      <c r="M120" s="2">
        <v>46227.389108796298</v>
      </c>
      <c r="N120">
        <v>2026</v>
      </c>
    </row>
    <row r="121" spans="1:14" x14ac:dyDescent="0.25">
      <c r="A121" s="1" t="s">
        <v>856</v>
      </c>
      <c r="B121" s="1" t="s">
        <v>432</v>
      </c>
      <c r="C121" t="s">
        <v>432</v>
      </c>
      <c r="D121" s="1" t="s">
        <v>616</v>
      </c>
      <c r="E121" s="1" t="s">
        <v>617</v>
      </c>
      <c r="F121">
        <v>2010</v>
      </c>
      <c r="G121">
        <v>252800</v>
      </c>
      <c r="H121" t="s">
        <v>1010</v>
      </c>
      <c r="I121" t="s">
        <v>868</v>
      </c>
      <c r="J121">
        <v>36</v>
      </c>
      <c r="K121" t="s">
        <v>877</v>
      </c>
      <c r="L121" t="b">
        <v>0</v>
      </c>
      <c r="M121" s="2">
        <v>46227.389108796298</v>
      </c>
      <c r="N121">
        <v>2026</v>
      </c>
    </row>
    <row r="122" spans="1:14" x14ac:dyDescent="0.25">
      <c r="A122" s="1" t="s">
        <v>857</v>
      </c>
      <c r="B122" s="1" t="s">
        <v>432</v>
      </c>
      <c r="C122" t="s">
        <v>432</v>
      </c>
      <c r="D122" s="1" t="s">
        <v>637</v>
      </c>
      <c r="E122" s="1" t="s">
        <v>638</v>
      </c>
      <c r="F122">
        <v>2009</v>
      </c>
      <c r="G122">
        <v>228813</v>
      </c>
      <c r="H122" t="s">
        <v>1011</v>
      </c>
      <c r="I122" t="s">
        <v>870</v>
      </c>
      <c r="J122">
        <v>27</v>
      </c>
      <c r="K122" t="s">
        <v>877</v>
      </c>
      <c r="L122" t="b">
        <v>0</v>
      </c>
      <c r="M122" s="2">
        <v>46227.389108796298</v>
      </c>
      <c r="N122">
        <v>2026</v>
      </c>
    </row>
    <row r="123" spans="1:14" x14ac:dyDescent="0.25">
      <c r="A123" s="1" t="s">
        <v>858</v>
      </c>
      <c r="B123" s="1" t="s">
        <v>432</v>
      </c>
      <c r="C123" t="s">
        <v>432</v>
      </c>
      <c r="D123" s="1" t="s">
        <v>491</v>
      </c>
      <c r="E123" s="1" t="s">
        <v>492</v>
      </c>
      <c r="F123">
        <v>2008</v>
      </c>
      <c r="G123">
        <v>204440</v>
      </c>
      <c r="H123" t="s">
        <v>1012</v>
      </c>
      <c r="I123" t="s">
        <v>870</v>
      </c>
      <c r="J123">
        <v>33</v>
      </c>
      <c r="K123" t="s">
        <v>877</v>
      </c>
      <c r="L123" t="b">
        <v>0</v>
      </c>
      <c r="M123" s="2">
        <v>46227.389108796298</v>
      </c>
      <c r="N123">
        <v>2026</v>
      </c>
    </row>
    <row r="124" spans="1:14" x14ac:dyDescent="0.25">
      <c r="A124" s="1" t="s">
        <v>455</v>
      </c>
      <c r="B124" s="1" t="s">
        <v>316</v>
      </c>
      <c r="C124" t="s">
        <v>316</v>
      </c>
      <c r="D124" s="1" t="s">
        <v>456</v>
      </c>
      <c r="E124" s="1" t="s">
        <v>457</v>
      </c>
      <c r="F124">
        <v>1995</v>
      </c>
      <c r="G124">
        <v>327893</v>
      </c>
      <c r="H124" t="s">
        <v>1013</v>
      </c>
      <c r="I124" t="s">
        <v>871</v>
      </c>
      <c r="J124">
        <v>56</v>
      </c>
      <c r="K124" t="s">
        <v>879</v>
      </c>
      <c r="L124" t="b">
        <v>0</v>
      </c>
      <c r="M124" s="2">
        <v>46227.389108796298</v>
      </c>
      <c r="N124">
        <v>2026</v>
      </c>
    </row>
    <row r="125" spans="1:14" x14ac:dyDescent="0.25">
      <c r="A125" s="1" t="s">
        <v>458</v>
      </c>
      <c r="B125" s="1" t="s">
        <v>316</v>
      </c>
      <c r="C125" t="s">
        <v>316</v>
      </c>
      <c r="D125" s="1" t="s">
        <v>459</v>
      </c>
      <c r="E125" s="1" t="s">
        <v>460</v>
      </c>
      <c r="F125">
        <v>1991</v>
      </c>
      <c r="G125">
        <v>249066</v>
      </c>
      <c r="H125" t="s">
        <v>1014</v>
      </c>
      <c r="I125" t="s">
        <v>868</v>
      </c>
      <c r="J125">
        <v>37</v>
      </c>
      <c r="K125" t="s">
        <v>877</v>
      </c>
      <c r="L125" t="b">
        <v>0</v>
      </c>
      <c r="M125" s="2">
        <v>46227.389108796298</v>
      </c>
      <c r="N125">
        <v>2026</v>
      </c>
    </row>
    <row r="126" spans="1:14" x14ac:dyDescent="0.25">
      <c r="A126" s="1" t="s">
        <v>461</v>
      </c>
      <c r="B126" s="1" t="s">
        <v>316</v>
      </c>
      <c r="C126" t="s">
        <v>316</v>
      </c>
      <c r="D126" s="1" t="s">
        <v>456</v>
      </c>
      <c r="E126" s="1" t="s">
        <v>457</v>
      </c>
      <c r="F126">
        <v>1995</v>
      </c>
      <c r="G126">
        <v>242973</v>
      </c>
      <c r="H126" t="s">
        <v>1015</v>
      </c>
      <c r="I126" t="s">
        <v>868</v>
      </c>
      <c r="J126">
        <v>60</v>
      </c>
      <c r="K126" t="s">
        <v>879</v>
      </c>
      <c r="L126" t="b">
        <v>0</v>
      </c>
      <c r="M126" s="2">
        <v>46227.389108796298</v>
      </c>
      <c r="N126">
        <v>2026</v>
      </c>
    </row>
    <row r="127" spans="1:14" x14ac:dyDescent="0.25">
      <c r="A127" s="1" t="s">
        <v>462</v>
      </c>
      <c r="B127" s="1" t="s">
        <v>316</v>
      </c>
      <c r="C127" t="s">
        <v>316</v>
      </c>
      <c r="D127" s="1" t="s">
        <v>463</v>
      </c>
      <c r="E127" s="1" t="s">
        <v>464</v>
      </c>
      <c r="F127">
        <v>1993</v>
      </c>
      <c r="G127">
        <v>288200</v>
      </c>
      <c r="H127" t="s">
        <v>1016</v>
      </c>
      <c r="I127" t="s">
        <v>868</v>
      </c>
      <c r="J127">
        <v>44</v>
      </c>
      <c r="K127" t="s">
        <v>879</v>
      </c>
      <c r="L127" t="b">
        <v>0</v>
      </c>
      <c r="M127" s="2">
        <v>46227.389108796298</v>
      </c>
      <c r="N127">
        <v>2026</v>
      </c>
    </row>
    <row r="128" spans="1:14" x14ac:dyDescent="0.25">
      <c r="A128" s="1" t="s">
        <v>465</v>
      </c>
      <c r="B128" s="1" t="s">
        <v>316</v>
      </c>
      <c r="C128" t="s">
        <v>316</v>
      </c>
      <c r="D128" s="1" t="s">
        <v>459</v>
      </c>
      <c r="E128" s="1" t="s">
        <v>460</v>
      </c>
      <c r="F128">
        <v>1991</v>
      </c>
      <c r="G128">
        <v>212906</v>
      </c>
      <c r="H128" t="s">
        <v>1017</v>
      </c>
      <c r="I128" t="s">
        <v>870</v>
      </c>
      <c r="J128">
        <v>32</v>
      </c>
      <c r="K128" t="s">
        <v>877</v>
      </c>
      <c r="L128" t="b">
        <v>0</v>
      </c>
      <c r="M128" s="2">
        <v>46227.389108796298</v>
      </c>
      <c r="N128">
        <v>2026</v>
      </c>
    </row>
    <row r="129" spans="1:14" x14ac:dyDescent="0.25">
      <c r="A129" s="1" t="s">
        <v>466</v>
      </c>
      <c r="B129" s="1" t="s">
        <v>316</v>
      </c>
      <c r="C129" t="s">
        <v>316</v>
      </c>
      <c r="D129" s="1" t="s">
        <v>467</v>
      </c>
      <c r="E129" s="1" t="s">
        <v>468</v>
      </c>
      <c r="F129">
        <v>2000</v>
      </c>
      <c r="G129">
        <v>277306</v>
      </c>
      <c r="H129" t="s">
        <v>1018</v>
      </c>
      <c r="I129" t="s">
        <v>868</v>
      </c>
      <c r="J129">
        <v>22</v>
      </c>
      <c r="K129" t="s">
        <v>877</v>
      </c>
      <c r="L129" t="b">
        <v>0</v>
      </c>
      <c r="M129" s="2">
        <v>46227.389108796298</v>
      </c>
      <c r="N129">
        <v>2026</v>
      </c>
    </row>
    <row r="130" spans="1:14" x14ac:dyDescent="0.25">
      <c r="A130" s="1" t="s">
        <v>517</v>
      </c>
      <c r="B130" s="1" t="s">
        <v>316</v>
      </c>
      <c r="C130" t="s">
        <v>316</v>
      </c>
      <c r="D130" s="1" t="s">
        <v>518</v>
      </c>
      <c r="E130" s="1" t="s">
        <v>519</v>
      </c>
      <c r="F130">
        <v>2012</v>
      </c>
      <c r="G130">
        <v>278440</v>
      </c>
      <c r="H130" t="s">
        <v>1019</v>
      </c>
      <c r="I130" t="s">
        <v>868</v>
      </c>
      <c r="J130">
        <v>66</v>
      </c>
      <c r="K130" t="s">
        <v>876</v>
      </c>
      <c r="L130" t="b">
        <v>0</v>
      </c>
      <c r="M130" s="2">
        <v>46227.389108796298</v>
      </c>
      <c r="N130">
        <v>2026</v>
      </c>
    </row>
    <row r="131" spans="1:14" x14ac:dyDescent="0.25">
      <c r="A131" s="1" t="s">
        <v>520</v>
      </c>
      <c r="B131" s="1" t="s">
        <v>316</v>
      </c>
      <c r="C131" t="s">
        <v>316</v>
      </c>
      <c r="D131" s="1" t="s">
        <v>521</v>
      </c>
      <c r="E131" s="1" t="s">
        <v>522</v>
      </c>
      <c r="F131">
        <v>2011</v>
      </c>
      <c r="G131">
        <v>308560</v>
      </c>
      <c r="H131" t="s">
        <v>1020</v>
      </c>
      <c r="I131" t="s">
        <v>871</v>
      </c>
      <c r="J131">
        <v>55</v>
      </c>
      <c r="K131" t="s">
        <v>879</v>
      </c>
      <c r="L131" t="b">
        <v>0</v>
      </c>
      <c r="M131" s="2">
        <v>46227.389108796298</v>
      </c>
      <c r="N131">
        <v>2026</v>
      </c>
    </row>
    <row r="132" spans="1:14" x14ac:dyDescent="0.25">
      <c r="A132" s="1" t="s">
        <v>523</v>
      </c>
      <c r="B132" s="1" t="s">
        <v>316</v>
      </c>
      <c r="C132" t="s">
        <v>316</v>
      </c>
      <c r="D132" s="1" t="s">
        <v>524</v>
      </c>
      <c r="E132" s="1" t="s">
        <v>522</v>
      </c>
      <c r="F132">
        <v>2011</v>
      </c>
      <c r="G132">
        <v>307053</v>
      </c>
      <c r="H132" t="s">
        <v>1021</v>
      </c>
      <c r="I132" t="s">
        <v>871</v>
      </c>
      <c r="J132">
        <v>41</v>
      </c>
      <c r="K132" t="s">
        <v>879</v>
      </c>
      <c r="L132" t="b">
        <v>0</v>
      </c>
      <c r="M132" s="2">
        <v>46227.389108796298</v>
      </c>
      <c r="N132">
        <v>2026</v>
      </c>
    </row>
    <row r="133" spans="1:14" x14ac:dyDescent="0.25">
      <c r="A133" s="1" t="s">
        <v>536</v>
      </c>
      <c r="B133" s="1" t="s">
        <v>316</v>
      </c>
      <c r="C133" t="s">
        <v>316</v>
      </c>
      <c r="D133" s="1" t="s">
        <v>536</v>
      </c>
      <c r="E133" s="1" t="s">
        <v>281</v>
      </c>
      <c r="F133">
        <v>2021</v>
      </c>
      <c r="G133">
        <v>281764</v>
      </c>
      <c r="H133" t="s">
        <v>1022</v>
      </c>
      <c r="I133" t="s">
        <v>868</v>
      </c>
      <c r="J133">
        <v>36</v>
      </c>
      <c r="K133" t="s">
        <v>877</v>
      </c>
      <c r="L133" t="b">
        <v>0</v>
      </c>
      <c r="M133" s="2">
        <v>46227.389108796298</v>
      </c>
      <c r="N133">
        <v>2026</v>
      </c>
    </row>
    <row r="134" spans="1:14" x14ac:dyDescent="0.25">
      <c r="A134" s="1" t="s">
        <v>544</v>
      </c>
      <c r="B134" s="1" t="s">
        <v>316</v>
      </c>
      <c r="C134" t="s">
        <v>316</v>
      </c>
      <c r="D134" s="1" t="s">
        <v>545</v>
      </c>
      <c r="E134" s="1" t="s">
        <v>546</v>
      </c>
      <c r="F134">
        <v>2001</v>
      </c>
      <c r="G134">
        <v>316426</v>
      </c>
      <c r="H134" t="s">
        <v>1023</v>
      </c>
      <c r="I134" t="s">
        <v>871</v>
      </c>
      <c r="J134">
        <v>50</v>
      </c>
      <c r="K134" t="s">
        <v>879</v>
      </c>
      <c r="L134" t="b">
        <v>0</v>
      </c>
      <c r="M134" s="2">
        <v>46227.389108796298</v>
      </c>
      <c r="N134">
        <v>2026</v>
      </c>
    </row>
    <row r="135" spans="1:14" x14ac:dyDescent="0.25">
      <c r="A135" s="1" t="s">
        <v>547</v>
      </c>
      <c r="B135" s="1" t="s">
        <v>316</v>
      </c>
      <c r="C135" t="s">
        <v>316</v>
      </c>
      <c r="D135" s="1" t="s">
        <v>459</v>
      </c>
      <c r="E135" s="1" t="s">
        <v>460</v>
      </c>
      <c r="F135">
        <v>1991</v>
      </c>
      <c r="G135">
        <v>281240</v>
      </c>
      <c r="H135" t="s">
        <v>1024</v>
      </c>
      <c r="I135" t="s">
        <v>868</v>
      </c>
      <c r="J135">
        <v>53</v>
      </c>
      <c r="K135" t="s">
        <v>879</v>
      </c>
      <c r="L135" t="b">
        <v>0</v>
      </c>
      <c r="M135" s="2">
        <v>46227.389108796298</v>
      </c>
      <c r="N135">
        <v>2026</v>
      </c>
    </row>
    <row r="136" spans="1:14" x14ac:dyDescent="0.25">
      <c r="A136" s="1" t="s">
        <v>560</v>
      </c>
      <c r="B136" s="1" t="s">
        <v>316</v>
      </c>
      <c r="C136" t="s">
        <v>316</v>
      </c>
      <c r="D136" s="1" t="s">
        <v>299</v>
      </c>
      <c r="E136" s="1" t="s">
        <v>300</v>
      </c>
      <c r="F136">
        <v>2021</v>
      </c>
      <c r="G136">
        <v>245844</v>
      </c>
      <c r="H136" t="s">
        <v>1025</v>
      </c>
      <c r="I136" t="s">
        <v>868</v>
      </c>
      <c r="J136">
        <v>41</v>
      </c>
      <c r="K136" t="s">
        <v>879</v>
      </c>
      <c r="L136" t="b">
        <v>0</v>
      </c>
      <c r="M136" s="2">
        <v>46227.389108796298</v>
      </c>
      <c r="N136">
        <v>2026</v>
      </c>
    </row>
    <row r="137" spans="1:14" x14ac:dyDescent="0.25">
      <c r="A137" s="1" t="s">
        <v>561</v>
      </c>
      <c r="B137" s="1" t="s">
        <v>316</v>
      </c>
      <c r="C137" t="s">
        <v>316</v>
      </c>
      <c r="D137" s="1" t="s">
        <v>299</v>
      </c>
      <c r="E137" s="1" t="s">
        <v>300</v>
      </c>
      <c r="F137">
        <v>2021</v>
      </c>
      <c r="G137">
        <v>264098</v>
      </c>
      <c r="H137" t="s">
        <v>1026</v>
      </c>
      <c r="I137" t="s">
        <v>868</v>
      </c>
      <c r="J137">
        <v>42</v>
      </c>
      <c r="K137" t="s">
        <v>879</v>
      </c>
      <c r="L137" t="b">
        <v>0</v>
      </c>
      <c r="M137" s="2">
        <v>46227.389108796298</v>
      </c>
      <c r="N137">
        <v>2026</v>
      </c>
    </row>
    <row r="138" spans="1:14" x14ac:dyDescent="0.25">
      <c r="A138" s="1" t="s">
        <v>563</v>
      </c>
      <c r="B138" s="1" t="s">
        <v>316</v>
      </c>
      <c r="C138" t="s">
        <v>316</v>
      </c>
      <c r="D138" s="1" t="s">
        <v>518</v>
      </c>
      <c r="E138" s="1" t="s">
        <v>519</v>
      </c>
      <c r="F138">
        <v>2012</v>
      </c>
      <c r="G138">
        <v>288640</v>
      </c>
      <c r="H138" t="s">
        <v>1027</v>
      </c>
      <c r="I138" t="s">
        <v>868</v>
      </c>
      <c r="J138">
        <v>46</v>
      </c>
      <c r="K138" t="s">
        <v>879</v>
      </c>
      <c r="L138" t="b">
        <v>0</v>
      </c>
      <c r="M138" s="2">
        <v>46227.389108796298</v>
      </c>
      <c r="N138">
        <v>2026</v>
      </c>
    </row>
    <row r="139" spans="1:14" x14ac:dyDescent="0.25">
      <c r="A139" s="1" t="s">
        <v>566</v>
      </c>
      <c r="B139" s="1" t="s">
        <v>316</v>
      </c>
      <c r="C139" t="s">
        <v>316</v>
      </c>
      <c r="D139" s="1" t="s">
        <v>518</v>
      </c>
      <c r="E139" s="1" t="s">
        <v>519</v>
      </c>
      <c r="F139">
        <v>2012</v>
      </c>
      <c r="G139">
        <v>260573</v>
      </c>
      <c r="H139" t="s">
        <v>1028</v>
      </c>
      <c r="I139" t="s">
        <v>868</v>
      </c>
      <c r="J139">
        <v>61</v>
      </c>
      <c r="K139" t="s">
        <v>876</v>
      </c>
      <c r="L139" t="b">
        <v>0</v>
      </c>
      <c r="M139" s="2">
        <v>46227.389108796298</v>
      </c>
      <c r="N139">
        <v>2026</v>
      </c>
    </row>
    <row r="140" spans="1:14" x14ac:dyDescent="0.25">
      <c r="A140" s="1" t="s">
        <v>567</v>
      </c>
      <c r="B140" s="1" t="s">
        <v>316</v>
      </c>
      <c r="C140" t="s">
        <v>316</v>
      </c>
      <c r="D140" s="1" t="s">
        <v>456</v>
      </c>
      <c r="E140" s="1" t="s">
        <v>457</v>
      </c>
      <c r="F140">
        <v>1995</v>
      </c>
      <c r="G140">
        <v>299840</v>
      </c>
      <c r="H140" t="s">
        <v>1029</v>
      </c>
      <c r="I140" t="s">
        <v>868</v>
      </c>
      <c r="J140">
        <v>77</v>
      </c>
      <c r="K140" t="s">
        <v>876</v>
      </c>
      <c r="L140" t="b">
        <v>0</v>
      </c>
      <c r="M140" s="2">
        <v>46227.389108796298</v>
      </c>
      <c r="N140">
        <v>2026</v>
      </c>
    </row>
    <row r="141" spans="1:14" x14ac:dyDescent="0.25">
      <c r="A141" s="1" t="s">
        <v>568</v>
      </c>
      <c r="B141" s="1" t="s">
        <v>316</v>
      </c>
      <c r="C141" t="s">
        <v>316</v>
      </c>
      <c r="D141" s="1" t="s">
        <v>521</v>
      </c>
      <c r="E141" s="1" t="s">
        <v>522</v>
      </c>
      <c r="F141">
        <v>2011</v>
      </c>
      <c r="G141">
        <v>328533</v>
      </c>
      <c r="H141" t="s">
        <v>1030</v>
      </c>
      <c r="I141" t="s">
        <v>871</v>
      </c>
      <c r="J141">
        <v>50</v>
      </c>
      <c r="K141" t="s">
        <v>879</v>
      </c>
      <c r="L141" t="b">
        <v>0</v>
      </c>
      <c r="M141" s="2">
        <v>46227.389108796298</v>
      </c>
      <c r="N141">
        <v>2026</v>
      </c>
    </row>
    <row r="142" spans="1:14" x14ac:dyDescent="0.25">
      <c r="A142" s="1" t="s">
        <v>569</v>
      </c>
      <c r="B142" s="1" t="s">
        <v>316</v>
      </c>
      <c r="C142" t="s">
        <v>316</v>
      </c>
      <c r="D142" s="1" t="s">
        <v>459</v>
      </c>
      <c r="E142" s="1" t="s">
        <v>460</v>
      </c>
      <c r="F142">
        <v>1991</v>
      </c>
      <c r="G142">
        <v>269813</v>
      </c>
      <c r="H142" t="s">
        <v>1031</v>
      </c>
      <c r="I142" t="s">
        <v>868</v>
      </c>
      <c r="J142">
        <v>70</v>
      </c>
      <c r="K142" t="s">
        <v>876</v>
      </c>
      <c r="L142" t="b">
        <v>0</v>
      </c>
      <c r="M142" s="2">
        <v>46227.389108796298</v>
      </c>
      <c r="N142">
        <v>2026</v>
      </c>
    </row>
    <row r="143" spans="1:14" x14ac:dyDescent="0.25">
      <c r="A143" s="1" t="s">
        <v>571</v>
      </c>
      <c r="B143" s="1" t="s">
        <v>316</v>
      </c>
      <c r="C143" t="s">
        <v>316</v>
      </c>
      <c r="D143" s="1" t="s">
        <v>572</v>
      </c>
      <c r="E143" s="1" t="s">
        <v>573</v>
      </c>
      <c r="F143">
        <v>1997</v>
      </c>
      <c r="G143">
        <v>285520</v>
      </c>
      <c r="H143" t="s">
        <v>1032</v>
      </c>
      <c r="I143" t="s">
        <v>868</v>
      </c>
      <c r="J143">
        <v>71</v>
      </c>
      <c r="K143" t="s">
        <v>876</v>
      </c>
      <c r="L143" t="b">
        <v>0</v>
      </c>
      <c r="M143" s="2">
        <v>46227.389108796298</v>
      </c>
      <c r="N143">
        <v>2026</v>
      </c>
    </row>
    <row r="144" spans="1:14" x14ac:dyDescent="0.25">
      <c r="A144" s="1" t="s">
        <v>574</v>
      </c>
      <c r="B144" s="1" t="s">
        <v>316</v>
      </c>
      <c r="C144" t="s">
        <v>316</v>
      </c>
      <c r="D144" s="1" t="s">
        <v>521</v>
      </c>
      <c r="E144" s="1" t="s">
        <v>522</v>
      </c>
      <c r="F144">
        <v>2011</v>
      </c>
      <c r="G144">
        <v>359173</v>
      </c>
      <c r="H144" t="s">
        <v>1033</v>
      </c>
      <c r="I144" t="s">
        <v>871</v>
      </c>
      <c r="J144">
        <v>54</v>
      </c>
      <c r="K144" t="s">
        <v>879</v>
      </c>
      <c r="L144" t="b">
        <v>0</v>
      </c>
      <c r="M144" s="2">
        <v>46227.389108796298</v>
      </c>
      <c r="N144">
        <v>2026</v>
      </c>
    </row>
    <row r="145" spans="1:14" x14ac:dyDescent="0.25">
      <c r="A145" s="1" t="s">
        <v>581</v>
      </c>
      <c r="B145" s="1" t="s">
        <v>316</v>
      </c>
      <c r="C145" t="s">
        <v>316</v>
      </c>
      <c r="D145" s="1" t="s">
        <v>521</v>
      </c>
      <c r="E145" s="1" t="s">
        <v>522</v>
      </c>
      <c r="F145">
        <v>2011</v>
      </c>
      <c r="G145">
        <v>235906</v>
      </c>
      <c r="H145" t="s">
        <v>1034</v>
      </c>
      <c r="I145" t="s">
        <v>870</v>
      </c>
      <c r="J145">
        <v>60</v>
      </c>
      <c r="K145" t="s">
        <v>879</v>
      </c>
      <c r="L145" t="b">
        <v>0</v>
      </c>
      <c r="M145" s="2">
        <v>46227.389108796298</v>
      </c>
      <c r="N145">
        <v>2026</v>
      </c>
    </row>
    <row r="146" spans="1:14" x14ac:dyDescent="0.25">
      <c r="A146" s="1" t="s">
        <v>582</v>
      </c>
      <c r="B146" s="1" t="s">
        <v>316</v>
      </c>
      <c r="C146" t="s">
        <v>316</v>
      </c>
      <c r="D146" s="1" t="s">
        <v>317</v>
      </c>
      <c r="E146" s="1" t="s">
        <v>318</v>
      </c>
      <c r="F146">
        <v>2015</v>
      </c>
      <c r="G146">
        <v>301115</v>
      </c>
      <c r="H146" t="s">
        <v>1035</v>
      </c>
      <c r="I146" t="s">
        <v>871</v>
      </c>
      <c r="J146">
        <v>44</v>
      </c>
      <c r="K146" t="s">
        <v>879</v>
      </c>
      <c r="L146" t="b">
        <v>0</v>
      </c>
      <c r="M146" s="2">
        <v>46227.389108796298</v>
      </c>
      <c r="N146">
        <v>2026</v>
      </c>
    </row>
    <row r="147" spans="1:14" x14ac:dyDescent="0.25">
      <c r="A147" s="1" t="s">
        <v>583</v>
      </c>
      <c r="B147" s="1" t="s">
        <v>316</v>
      </c>
      <c r="C147" t="s">
        <v>316</v>
      </c>
      <c r="D147" s="1" t="s">
        <v>524</v>
      </c>
      <c r="E147" s="1" t="s">
        <v>522</v>
      </c>
      <c r="F147">
        <v>2011</v>
      </c>
      <c r="G147">
        <v>229800</v>
      </c>
      <c r="H147" t="s">
        <v>1036</v>
      </c>
      <c r="I147" t="s">
        <v>870</v>
      </c>
      <c r="J147">
        <v>52</v>
      </c>
      <c r="K147" t="s">
        <v>879</v>
      </c>
      <c r="L147" t="b">
        <v>0</v>
      </c>
      <c r="M147" s="2">
        <v>46227.389108796298</v>
      </c>
      <c r="N147">
        <v>2026</v>
      </c>
    </row>
    <row r="148" spans="1:14" x14ac:dyDescent="0.25">
      <c r="A148" s="1" t="s">
        <v>584</v>
      </c>
      <c r="B148" s="1" t="s">
        <v>316</v>
      </c>
      <c r="C148" t="s">
        <v>316</v>
      </c>
      <c r="D148" s="1" t="s">
        <v>456</v>
      </c>
      <c r="E148" s="1" t="s">
        <v>457</v>
      </c>
      <c r="F148">
        <v>1995</v>
      </c>
      <c r="G148">
        <v>281666</v>
      </c>
      <c r="H148" t="s">
        <v>1037</v>
      </c>
      <c r="I148" t="s">
        <v>868</v>
      </c>
      <c r="J148">
        <v>55</v>
      </c>
      <c r="K148" t="s">
        <v>879</v>
      </c>
      <c r="L148" t="b">
        <v>0</v>
      </c>
      <c r="M148" s="2">
        <v>46227.389108796298</v>
      </c>
      <c r="N148">
        <v>2026</v>
      </c>
    </row>
    <row r="149" spans="1:14" x14ac:dyDescent="0.25">
      <c r="A149" s="1" t="s">
        <v>587</v>
      </c>
      <c r="B149" s="1" t="s">
        <v>316</v>
      </c>
      <c r="C149" t="s">
        <v>316</v>
      </c>
      <c r="D149" s="1" t="s">
        <v>299</v>
      </c>
      <c r="E149" s="1" t="s">
        <v>300</v>
      </c>
      <c r="F149">
        <v>2021</v>
      </c>
      <c r="G149">
        <v>228018</v>
      </c>
      <c r="H149" t="s">
        <v>1038</v>
      </c>
      <c r="I149" t="s">
        <v>870</v>
      </c>
      <c r="J149">
        <v>29</v>
      </c>
      <c r="K149" t="s">
        <v>877</v>
      </c>
      <c r="L149" t="b">
        <v>0</v>
      </c>
      <c r="M149" s="2">
        <v>46227.389108796298</v>
      </c>
      <c r="N149">
        <v>2026</v>
      </c>
    </row>
    <row r="150" spans="1:14" x14ac:dyDescent="0.25">
      <c r="A150" s="1" t="s">
        <v>588</v>
      </c>
      <c r="B150" s="1" t="s">
        <v>316</v>
      </c>
      <c r="C150" t="s">
        <v>316</v>
      </c>
      <c r="D150" s="1" t="s">
        <v>299</v>
      </c>
      <c r="E150" s="1" t="s">
        <v>300</v>
      </c>
      <c r="F150">
        <v>2021</v>
      </c>
      <c r="G150">
        <v>219884</v>
      </c>
      <c r="H150" t="s">
        <v>1039</v>
      </c>
      <c r="I150" t="s">
        <v>870</v>
      </c>
      <c r="J150">
        <v>32</v>
      </c>
      <c r="K150" t="s">
        <v>877</v>
      </c>
      <c r="L150" t="b">
        <v>0</v>
      </c>
      <c r="M150" s="2">
        <v>46227.389108796298</v>
      </c>
      <c r="N150">
        <v>2026</v>
      </c>
    </row>
    <row r="151" spans="1:14" x14ac:dyDescent="0.25">
      <c r="A151" s="1" t="s">
        <v>598</v>
      </c>
      <c r="B151" s="1" t="s">
        <v>316</v>
      </c>
      <c r="C151" t="s">
        <v>316</v>
      </c>
      <c r="D151" s="1" t="s">
        <v>599</v>
      </c>
      <c r="E151" s="1" t="s">
        <v>600</v>
      </c>
      <c r="F151">
        <v>2019</v>
      </c>
      <c r="G151">
        <v>225599</v>
      </c>
      <c r="H151" t="s">
        <v>1040</v>
      </c>
      <c r="I151" t="s">
        <v>870</v>
      </c>
      <c r="J151">
        <v>46</v>
      </c>
      <c r="K151" t="s">
        <v>879</v>
      </c>
      <c r="L151" t="b">
        <v>0</v>
      </c>
      <c r="M151" s="2">
        <v>46227.389108796298</v>
      </c>
      <c r="N151">
        <v>2026</v>
      </c>
    </row>
    <row r="152" spans="1:14" x14ac:dyDescent="0.25">
      <c r="A152" s="1" t="s">
        <v>601</v>
      </c>
      <c r="B152" s="1" t="s">
        <v>316</v>
      </c>
      <c r="C152" t="s">
        <v>316</v>
      </c>
      <c r="D152" s="1" t="s">
        <v>599</v>
      </c>
      <c r="E152" s="1" t="s">
        <v>600</v>
      </c>
      <c r="F152">
        <v>2019</v>
      </c>
      <c r="G152">
        <v>223303</v>
      </c>
      <c r="H152" t="s">
        <v>1041</v>
      </c>
      <c r="I152" t="s">
        <v>870</v>
      </c>
      <c r="J152">
        <v>29</v>
      </c>
      <c r="K152" t="s">
        <v>877</v>
      </c>
      <c r="L152" t="b">
        <v>0</v>
      </c>
      <c r="M152" s="2">
        <v>46227.389108796298</v>
      </c>
      <c r="N152">
        <v>2026</v>
      </c>
    </row>
    <row r="153" spans="1:14" x14ac:dyDescent="0.25">
      <c r="A153" s="1" t="s">
        <v>603</v>
      </c>
      <c r="B153" s="1" t="s">
        <v>316</v>
      </c>
      <c r="C153" t="s">
        <v>316</v>
      </c>
      <c r="D153" s="1" t="s">
        <v>463</v>
      </c>
      <c r="E153" s="1" t="s">
        <v>464</v>
      </c>
      <c r="F153">
        <v>1993</v>
      </c>
      <c r="G153">
        <v>257920</v>
      </c>
      <c r="H153" t="s">
        <v>1042</v>
      </c>
      <c r="I153" t="s">
        <v>868</v>
      </c>
      <c r="J153">
        <v>68</v>
      </c>
      <c r="K153" t="s">
        <v>876</v>
      </c>
      <c r="L153" t="b">
        <v>0</v>
      </c>
      <c r="M153" s="2">
        <v>46227.389108796298</v>
      </c>
      <c r="N153">
        <v>2026</v>
      </c>
    </row>
    <row r="154" spans="1:14" x14ac:dyDescent="0.25">
      <c r="A154" s="1" t="s">
        <v>604</v>
      </c>
      <c r="B154" s="1" t="s">
        <v>316</v>
      </c>
      <c r="C154" t="s">
        <v>316</v>
      </c>
      <c r="D154" s="1" t="s">
        <v>572</v>
      </c>
      <c r="E154" s="1" t="s">
        <v>573</v>
      </c>
      <c r="F154">
        <v>1997</v>
      </c>
      <c r="G154">
        <v>343413</v>
      </c>
      <c r="H154" t="s">
        <v>1043</v>
      </c>
      <c r="I154" t="s">
        <v>871</v>
      </c>
      <c r="J154">
        <v>81</v>
      </c>
      <c r="K154" t="s">
        <v>880</v>
      </c>
      <c r="L154" t="b">
        <v>0</v>
      </c>
      <c r="M154" s="2">
        <v>46227.389108796298</v>
      </c>
      <c r="N154">
        <v>2026</v>
      </c>
    </row>
    <row r="155" spans="1:14" x14ac:dyDescent="0.25">
      <c r="A155" s="1" t="s">
        <v>605</v>
      </c>
      <c r="B155" s="1" t="s">
        <v>316</v>
      </c>
      <c r="C155" t="s">
        <v>316</v>
      </c>
      <c r="D155" s="1" t="s">
        <v>606</v>
      </c>
      <c r="E155" s="1" t="s">
        <v>607</v>
      </c>
      <c r="F155">
        <v>1994</v>
      </c>
      <c r="G155">
        <v>280266</v>
      </c>
      <c r="H155" t="s">
        <v>1044</v>
      </c>
      <c r="I155" t="s">
        <v>868</v>
      </c>
      <c r="J155">
        <v>48</v>
      </c>
      <c r="K155" t="s">
        <v>879</v>
      </c>
      <c r="L155" t="b">
        <v>0</v>
      </c>
      <c r="M155" s="2">
        <v>46227.389108796298</v>
      </c>
      <c r="N155">
        <v>2026</v>
      </c>
    </row>
    <row r="156" spans="1:14" x14ac:dyDescent="0.25">
      <c r="A156" s="1" t="s">
        <v>459</v>
      </c>
      <c r="B156" s="1" t="s">
        <v>316</v>
      </c>
      <c r="C156" t="s">
        <v>316</v>
      </c>
      <c r="D156" s="1" t="s">
        <v>606</v>
      </c>
      <c r="E156" s="1" t="s">
        <v>607</v>
      </c>
      <c r="F156">
        <v>1994</v>
      </c>
      <c r="G156">
        <v>216400</v>
      </c>
      <c r="H156" t="s">
        <v>1045</v>
      </c>
      <c r="I156" t="s">
        <v>870</v>
      </c>
      <c r="J156">
        <v>46</v>
      </c>
      <c r="K156" t="s">
        <v>879</v>
      </c>
      <c r="L156" t="b">
        <v>0</v>
      </c>
      <c r="M156" s="2">
        <v>46227.389108796298</v>
      </c>
      <c r="N156">
        <v>2026</v>
      </c>
    </row>
    <row r="157" spans="1:14" x14ac:dyDescent="0.25">
      <c r="A157" s="1" t="s">
        <v>608</v>
      </c>
      <c r="B157" s="1" t="s">
        <v>316</v>
      </c>
      <c r="C157" t="s">
        <v>316</v>
      </c>
      <c r="D157" s="1" t="s">
        <v>599</v>
      </c>
      <c r="E157" s="1" t="s">
        <v>600</v>
      </c>
      <c r="F157">
        <v>2019</v>
      </c>
      <c r="G157">
        <v>258236</v>
      </c>
      <c r="H157" t="s">
        <v>1046</v>
      </c>
      <c r="I157" t="s">
        <v>868</v>
      </c>
      <c r="J157">
        <v>45</v>
      </c>
      <c r="K157" t="s">
        <v>879</v>
      </c>
      <c r="L157" t="b">
        <v>0</v>
      </c>
      <c r="M157" s="2">
        <v>46227.389108796298</v>
      </c>
      <c r="N157">
        <v>2026</v>
      </c>
    </row>
    <row r="158" spans="1:14" x14ac:dyDescent="0.25">
      <c r="A158" s="1" t="s">
        <v>609</v>
      </c>
      <c r="B158" s="1" t="s">
        <v>316</v>
      </c>
      <c r="C158" t="s">
        <v>316</v>
      </c>
      <c r="D158" s="1" t="s">
        <v>299</v>
      </c>
      <c r="E158" s="1" t="s">
        <v>300</v>
      </c>
      <c r="F158">
        <v>2021</v>
      </c>
      <c r="G158">
        <v>247871</v>
      </c>
      <c r="H158" t="s">
        <v>1047</v>
      </c>
      <c r="I158" t="s">
        <v>868</v>
      </c>
      <c r="J158">
        <v>32</v>
      </c>
      <c r="K158" t="s">
        <v>877</v>
      </c>
      <c r="L158" t="b">
        <v>0</v>
      </c>
      <c r="M158" s="2">
        <v>46227.389108796298</v>
      </c>
      <c r="N158">
        <v>2026</v>
      </c>
    </row>
    <row r="159" spans="1:14" x14ac:dyDescent="0.25">
      <c r="A159" s="1" t="s">
        <v>620</v>
      </c>
      <c r="B159" s="1" t="s">
        <v>316</v>
      </c>
      <c r="C159" t="s">
        <v>316</v>
      </c>
      <c r="D159" s="1" t="s">
        <v>620</v>
      </c>
      <c r="E159" s="1" t="s">
        <v>468</v>
      </c>
      <c r="F159">
        <v>2000</v>
      </c>
      <c r="G159">
        <v>356760</v>
      </c>
      <c r="H159" t="s">
        <v>1048</v>
      </c>
      <c r="I159" t="s">
        <v>871</v>
      </c>
      <c r="J159">
        <v>62</v>
      </c>
      <c r="K159" t="s">
        <v>876</v>
      </c>
      <c r="L159" t="b">
        <v>0</v>
      </c>
      <c r="M159" s="2">
        <v>46227.389108796298</v>
      </c>
      <c r="N159">
        <v>2026</v>
      </c>
    </row>
    <row r="160" spans="1:14" x14ac:dyDescent="0.25">
      <c r="A160" s="1" t="s">
        <v>621</v>
      </c>
      <c r="B160" s="1" t="s">
        <v>316</v>
      </c>
      <c r="C160" t="s">
        <v>316</v>
      </c>
      <c r="D160" s="1" t="s">
        <v>518</v>
      </c>
      <c r="E160" s="1" t="s">
        <v>519</v>
      </c>
      <c r="F160">
        <v>2012</v>
      </c>
      <c r="G160">
        <v>293280</v>
      </c>
      <c r="H160" t="s">
        <v>1049</v>
      </c>
      <c r="I160" t="s">
        <v>868</v>
      </c>
      <c r="J160">
        <v>62</v>
      </c>
      <c r="K160" t="s">
        <v>876</v>
      </c>
      <c r="L160" t="b">
        <v>0</v>
      </c>
      <c r="M160" s="2">
        <v>46227.389108796298</v>
      </c>
      <c r="N160">
        <v>2026</v>
      </c>
    </row>
    <row r="161" spans="1:14" x14ac:dyDescent="0.25">
      <c r="A161" s="1" t="s">
        <v>622</v>
      </c>
      <c r="B161" s="1" t="s">
        <v>316</v>
      </c>
      <c r="C161" t="s">
        <v>316</v>
      </c>
      <c r="D161" s="1" t="s">
        <v>456</v>
      </c>
      <c r="E161" s="1" t="s">
        <v>457</v>
      </c>
      <c r="F161">
        <v>1995</v>
      </c>
      <c r="G161">
        <v>251106</v>
      </c>
      <c r="H161" t="s">
        <v>1050</v>
      </c>
      <c r="I161" t="s">
        <v>868</v>
      </c>
      <c r="J161">
        <v>48</v>
      </c>
      <c r="K161" t="s">
        <v>879</v>
      </c>
      <c r="L161" t="b">
        <v>0</v>
      </c>
      <c r="M161" s="2">
        <v>46227.389108796298</v>
      </c>
      <c r="N161">
        <v>2026</v>
      </c>
    </row>
    <row r="162" spans="1:14" x14ac:dyDescent="0.25">
      <c r="A162" s="1" t="s">
        <v>639</v>
      </c>
      <c r="B162" s="1" t="s">
        <v>316</v>
      </c>
      <c r="C162" t="s">
        <v>316</v>
      </c>
      <c r="D162" s="1" t="s">
        <v>545</v>
      </c>
      <c r="E162" s="1" t="s">
        <v>546</v>
      </c>
      <c r="F162">
        <v>2001</v>
      </c>
      <c r="G162">
        <v>277226</v>
      </c>
      <c r="H162" t="s">
        <v>1051</v>
      </c>
      <c r="I162" t="s">
        <v>868</v>
      </c>
      <c r="J162">
        <v>74</v>
      </c>
      <c r="K162" t="s">
        <v>876</v>
      </c>
      <c r="L162" t="b">
        <v>0</v>
      </c>
      <c r="M162" s="2">
        <v>46227.389108796298</v>
      </c>
      <c r="N162">
        <v>2026</v>
      </c>
    </row>
    <row r="163" spans="1:14" x14ac:dyDescent="0.25">
      <c r="A163" s="1" t="s">
        <v>642</v>
      </c>
      <c r="B163" s="1" t="s">
        <v>316</v>
      </c>
      <c r="C163" t="s">
        <v>316</v>
      </c>
      <c r="D163" s="1" t="s">
        <v>521</v>
      </c>
      <c r="E163" s="1" t="s">
        <v>522</v>
      </c>
      <c r="F163">
        <v>2011</v>
      </c>
      <c r="G163">
        <v>290973</v>
      </c>
      <c r="H163" t="s">
        <v>1052</v>
      </c>
      <c r="I163" t="s">
        <v>868</v>
      </c>
      <c r="J163">
        <v>43</v>
      </c>
      <c r="K163" t="s">
        <v>879</v>
      </c>
      <c r="L163" t="b">
        <v>0</v>
      </c>
      <c r="M163" s="2">
        <v>46227.389108796298</v>
      </c>
      <c r="N163">
        <v>2026</v>
      </c>
    </row>
    <row r="164" spans="1:14" x14ac:dyDescent="0.25">
      <c r="A164" s="1" t="s">
        <v>643</v>
      </c>
      <c r="B164" s="1" t="s">
        <v>316</v>
      </c>
      <c r="C164" t="s">
        <v>316</v>
      </c>
      <c r="D164" s="1" t="s">
        <v>521</v>
      </c>
      <c r="E164" s="1" t="s">
        <v>522</v>
      </c>
      <c r="F164">
        <v>2011</v>
      </c>
      <c r="G164">
        <v>275720</v>
      </c>
      <c r="H164" t="s">
        <v>1053</v>
      </c>
      <c r="I164" t="s">
        <v>868</v>
      </c>
      <c r="J164">
        <v>31</v>
      </c>
      <c r="K164" t="s">
        <v>877</v>
      </c>
      <c r="L164" t="b">
        <v>0</v>
      </c>
      <c r="M164" s="2">
        <v>46227.389108796298</v>
      </c>
      <c r="N164">
        <v>2026</v>
      </c>
    </row>
    <row r="165" spans="1:14" x14ac:dyDescent="0.25">
      <c r="A165" s="1" t="s">
        <v>644</v>
      </c>
      <c r="B165" s="1" t="s">
        <v>316</v>
      </c>
      <c r="C165" t="s">
        <v>316</v>
      </c>
      <c r="D165" s="1" t="s">
        <v>521</v>
      </c>
      <c r="E165" s="1" t="s">
        <v>522</v>
      </c>
      <c r="F165">
        <v>2011</v>
      </c>
      <c r="G165">
        <v>278160</v>
      </c>
      <c r="H165" t="s">
        <v>1054</v>
      </c>
      <c r="I165" t="s">
        <v>868</v>
      </c>
      <c r="J165">
        <v>40</v>
      </c>
      <c r="K165" t="s">
        <v>877</v>
      </c>
      <c r="L165" t="b">
        <v>0</v>
      </c>
      <c r="M165" s="2">
        <v>46227.389108796298</v>
      </c>
      <c r="N165">
        <v>2026</v>
      </c>
    </row>
    <row r="166" spans="1:14" x14ac:dyDescent="0.25">
      <c r="A166" s="1" t="s">
        <v>645</v>
      </c>
      <c r="B166" s="1" t="s">
        <v>316</v>
      </c>
      <c r="C166" t="s">
        <v>316</v>
      </c>
      <c r="D166" s="1" t="s">
        <v>521</v>
      </c>
      <c r="E166" s="1" t="s">
        <v>522</v>
      </c>
      <c r="F166">
        <v>2011</v>
      </c>
      <c r="G166">
        <v>231359</v>
      </c>
      <c r="H166" t="s">
        <v>1055</v>
      </c>
      <c r="I166" t="s">
        <v>870</v>
      </c>
      <c r="J166">
        <v>27</v>
      </c>
      <c r="K166" t="s">
        <v>877</v>
      </c>
      <c r="L166" t="b">
        <v>0</v>
      </c>
      <c r="M166" s="2">
        <v>46227.389108796298</v>
      </c>
      <c r="N166">
        <v>2026</v>
      </c>
    </row>
    <row r="167" spans="1:14" x14ac:dyDescent="0.25">
      <c r="A167" s="1" t="s">
        <v>646</v>
      </c>
      <c r="B167" s="1" t="s">
        <v>316</v>
      </c>
      <c r="C167" t="s">
        <v>316</v>
      </c>
      <c r="D167" s="1" t="s">
        <v>521</v>
      </c>
      <c r="E167" s="1" t="s">
        <v>522</v>
      </c>
      <c r="F167">
        <v>2011</v>
      </c>
      <c r="G167">
        <v>238719</v>
      </c>
      <c r="H167" t="s">
        <v>1056</v>
      </c>
      <c r="I167" t="s">
        <v>870</v>
      </c>
      <c r="J167">
        <v>28</v>
      </c>
      <c r="K167" t="s">
        <v>877</v>
      </c>
      <c r="L167" t="b">
        <v>0</v>
      </c>
      <c r="M167" s="2">
        <v>46227.389108796298</v>
      </c>
      <c r="N167">
        <v>2026</v>
      </c>
    </row>
    <row r="168" spans="1:14" x14ac:dyDescent="0.25">
      <c r="A168" s="1" t="s">
        <v>647</v>
      </c>
      <c r="B168" s="1" t="s">
        <v>316</v>
      </c>
      <c r="C168" t="s">
        <v>316</v>
      </c>
      <c r="D168" s="1" t="s">
        <v>521</v>
      </c>
      <c r="E168" s="1" t="s">
        <v>522</v>
      </c>
      <c r="F168">
        <v>2011</v>
      </c>
      <c r="G168">
        <v>266853</v>
      </c>
      <c r="H168" t="s">
        <v>1057</v>
      </c>
      <c r="I168" t="s">
        <v>868</v>
      </c>
      <c r="J168">
        <v>27</v>
      </c>
      <c r="K168" t="s">
        <v>877</v>
      </c>
      <c r="L168" t="b">
        <v>0</v>
      </c>
      <c r="M168" s="2">
        <v>46227.389108796298</v>
      </c>
      <c r="N168">
        <v>2026</v>
      </c>
    </row>
    <row r="169" spans="1:14" x14ac:dyDescent="0.25">
      <c r="A169" s="1" t="s">
        <v>648</v>
      </c>
      <c r="B169" s="1" t="s">
        <v>316</v>
      </c>
      <c r="C169" t="s">
        <v>316</v>
      </c>
      <c r="D169" s="1" t="s">
        <v>620</v>
      </c>
      <c r="E169" s="1" t="s">
        <v>468</v>
      </c>
      <c r="F169">
        <v>2000</v>
      </c>
      <c r="G169">
        <v>269333</v>
      </c>
      <c r="H169" t="s">
        <v>1058</v>
      </c>
      <c r="I169" t="s">
        <v>868</v>
      </c>
      <c r="J169">
        <v>53</v>
      </c>
      <c r="K169" t="s">
        <v>879</v>
      </c>
      <c r="L169" t="b">
        <v>0</v>
      </c>
      <c r="M169" s="2">
        <v>46227.389108796298</v>
      </c>
      <c r="N169">
        <v>2026</v>
      </c>
    </row>
    <row r="170" spans="1:14" x14ac:dyDescent="0.25">
      <c r="A170" s="1" t="s">
        <v>649</v>
      </c>
      <c r="B170" s="1" t="s">
        <v>316</v>
      </c>
      <c r="C170" t="s">
        <v>316</v>
      </c>
      <c r="D170" s="1" t="s">
        <v>620</v>
      </c>
      <c r="E170" s="1" t="s">
        <v>468</v>
      </c>
      <c r="F170">
        <v>2000</v>
      </c>
      <c r="G170">
        <v>305226</v>
      </c>
      <c r="H170" t="s">
        <v>1059</v>
      </c>
      <c r="I170" t="s">
        <v>871</v>
      </c>
      <c r="J170">
        <v>33</v>
      </c>
      <c r="K170" t="s">
        <v>877</v>
      </c>
      <c r="L170" t="b">
        <v>0</v>
      </c>
      <c r="M170" s="2">
        <v>46227.389108796298</v>
      </c>
      <c r="N170">
        <v>2026</v>
      </c>
    </row>
    <row r="171" spans="1:14" x14ac:dyDescent="0.25">
      <c r="A171" s="1" t="s">
        <v>531</v>
      </c>
      <c r="B171" s="1" t="s">
        <v>316</v>
      </c>
      <c r="C171" t="s">
        <v>316</v>
      </c>
      <c r="D171" s="1" t="s">
        <v>620</v>
      </c>
      <c r="E171" s="1" t="s">
        <v>468</v>
      </c>
      <c r="F171">
        <v>2000</v>
      </c>
      <c r="G171">
        <v>340106</v>
      </c>
      <c r="H171" t="s">
        <v>1060</v>
      </c>
      <c r="I171" t="s">
        <v>871</v>
      </c>
      <c r="J171">
        <v>45</v>
      </c>
      <c r="K171" t="s">
        <v>879</v>
      </c>
      <c r="L171" t="b">
        <v>0</v>
      </c>
      <c r="M171" s="2">
        <v>46227.389108796298</v>
      </c>
      <c r="N171">
        <v>2026</v>
      </c>
    </row>
    <row r="172" spans="1:14" x14ac:dyDescent="0.25">
      <c r="A172" s="1" t="s">
        <v>650</v>
      </c>
      <c r="B172" s="1" t="s">
        <v>316</v>
      </c>
      <c r="C172" t="s">
        <v>316</v>
      </c>
      <c r="D172" s="1" t="s">
        <v>620</v>
      </c>
      <c r="E172" s="1" t="s">
        <v>468</v>
      </c>
      <c r="F172">
        <v>2000</v>
      </c>
      <c r="G172">
        <v>321266</v>
      </c>
      <c r="H172" t="s">
        <v>1061</v>
      </c>
      <c r="I172" t="s">
        <v>871</v>
      </c>
      <c r="J172">
        <v>49</v>
      </c>
      <c r="K172" t="s">
        <v>879</v>
      </c>
      <c r="L172" t="b">
        <v>0</v>
      </c>
      <c r="M172" s="2">
        <v>46227.389108796298</v>
      </c>
      <c r="N172">
        <v>2026</v>
      </c>
    </row>
    <row r="173" spans="1:14" x14ac:dyDescent="0.25">
      <c r="A173" s="1" t="s">
        <v>651</v>
      </c>
      <c r="B173" s="1" t="s">
        <v>316</v>
      </c>
      <c r="C173" t="s">
        <v>316</v>
      </c>
      <c r="D173" s="1" t="s">
        <v>606</v>
      </c>
      <c r="E173" s="1" t="s">
        <v>607</v>
      </c>
      <c r="F173">
        <v>1994</v>
      </c>
      <c r="G173">
        <v>239440</v>
      </c>
      <c r="H173" t="s">
        <v>1062</v>
      </c>
      <c r="I173" t="s">
        <v>870</v>
      </c>
      <c r="J173">
        <v>49</v>
      </c>
      <c r="K173" t="s">
        <v>879</v>
      </c>
      <c r="L173" t="b">
        <v>0</v>
      </c>
      <c r="M173" s="2">
        <v>46227.389108796298</v>
      </c>
      <c r="N173">
        <v>2026</v>
      </c>
    </row>
    <row r="174" spans="1:14" x14ac:dyDescent="0.25">
      <c r="A174" s="1" t="s">
        <v>652</v>
      </c>
      <c r="B174" s="1" t="s">
        <v>316</v>
      </c>
      <c r="C174" t="s">
        <v>316</v>
      </c>
      <c r="D174" s="1" t="s">
        <v>606</v>
      </c>
      <c r="E174" s="1" t="s">
        <v>607</v>
      </c>
      <c r="F174">
        <v>1994</v>
      </c>
      <c r="G174">
        <v>316866</v>
      </c>
      <c r="H174" t="s">
        <v>1063</v>
      </c>
      <c r="I174" t="s">
        <v>871</v>
      </c>
      <c r="J174">
        <v>42</v>
      </c>
      <c r="K174" t="s">
        <v>879</v>
      </c>
      <c r="L174" t="b">
        <v>0</v>
      </c>
      <c r="M174" s="2">
        <v>46227.389108796298</v>
      </c>
      <c r="N174">
        <v>2026</v>
      </c>
    </row>
    <row r="175" spans="1:14" x14ac:dyDescent="0.25">
      <c r="A175" s="1" t="s">
        <v>653</v>
      </c>
      <c r="B175" s="1" t="s">
        <v>316</v>
      </c>
      <c r="C175" t="s">
        <v>316</v>
      </c>
      <c r="D175" s="1" t="s">
        <v>606</v>
      </c>
      <c r="E175" s="1" t="s">
        <v>607</v>
      </c>
      <c r="F175">
        <v>1994</v>
      </c>
      <c r="G175">
        <v>243933</v>
      </c>
      <c r="H175" t="s">
        <v>1064</v>
      </c>
      <c r="I175" t="s">
        <v>868</v>
      </c>
      <c r="J175">
        <v>37</v>
      </c>
      <c r="K175" t="s">
        <v>877</v>
      </c>
      <c r="L175" t="b">
        <v>0</v>
      </c>
      <c r="M175" s="2">
        <v>46227.389108796298</v>
      </c>
      <c r="N175">
        <v>2026</v>
      </c>
    </row>
    <row r="176" spans="1:14" x14ac:dyDescent="0.25">
      <c r="A176" s="1" t="s">
        <v>671</v>
      </c>
      <c r="B176" s="1" t="s">
        <v>316</v>
      </c>
      <c r="C176" t="s">
        <v>316</v>
      </c>
      <c r="D176" s="1" t="s">
        <v>524</v>
      </c>
      <c r="E176" s="1" t="s">
        <v>522</v>
      </c>
      <c r="F176">
        <v>2011</v>
      </c>
      <c r="G176">
        <v>290880</v>
      </c>
      <c r="H176" t="s">
        <v>1065</v>
      </c>
      <c r="I176" t="s">
        <v>868</v>
      </c>
      <c r="J176">
        <v>36</v>
      </c>
      <c r="K176" t="s">
        <v>877</v>
      </c>
      <c r="L176" t="b">
        <v>0</v>
      </c>
      <c r="M176" s="2">
        <v>46227.389108796298</v>
      </c>
      <c r="N176">
        <v>2026</v>
      </c>
    </row>
    <row r="177" spans="1:14" x14ac:dyDescent="0.25">
      <c r="A177" s="1" t="s">
        <v>672</v>
      </c>
      <c r="B177" s="1" t="s">
        <v>316</v>
      </c>
      <c r="C177" t="s">
        <v>316</v>
      </c>
      <c r="D177" s="1" t="s">
        <v>673</v>
      </c>
      <c r="E177" s="1" t="s">
        <v>674</v>
      </c>
      <c r="F177">
        <v>2004</v>
      </c>
      <c r="G177">
        <v>229946</v>
      </c>
      <c r="H177" t="s">
        <v>1066</v>
      </c>
      <c r="I177" t="s">
        <v>870</v>
      </c>
      <c r="J177">
        <v>40</v>
      </c>
      <c r="K177" t="s">
        <v>877</v>
      </c>
      <c r="L177" t="b">
        <v>0</v>
      </c>
      <c r="M177" s="2">
        <v>46227.389108796298</v>
      </c>
      <c r="N177">
        <v>2026</v>
      </c>
    </row>
    <row r="178" spans="1:14" x14ac:dyDescent="0.25">
      <c r="A178" s="1" t="s">
        <v>675</v>
      </c>
      <c r="B178" s="1" t="s">
        <v>316</v>
      </c>
      <c r="C178" t="s">
        <v>316</v>
      </c>
      <c r="D178" s="1" t="s">
        <v>673</v>
      </c>
      <c r="E178" s="1" t="s">
        <v>674</v>
      </c>
      <c r="F178">
        <v>2004</v>
      </c>
      <c r="G178">
        <v>285946</v>
      </c>
      <c r="H178" t="s">
        <v>1067</v>
      </c>
      <c r="I178" t="s">
        <v>868</v>
      </c>
      <c r="J178">
        <v>16</v>
      </c>
      <c r="K178" t="s">
        <v>878</v>
      </c>
      <c r="L178" t="b">
        <v>0</v>
      </c>
      <c r="M178" s="2">
        <v>46227.389108796298</v>
      </c>
      <c r="N178">
        <v>2026</v>
      </c>
    </row>
    <row r="179" spans="1:14" x14ac:dyDescent="0.25">
      <c r="A179" s="1" t="s">
        <v>676</v>
      </c>
      <c r="B179" s="1" t="s">
        <v>316</v>
      </c>
      <c r="C179" t="s">
        <v>316</v>
      </c>
      <c r="D179" s="1" t="s">
        <v>673</v>
      </c>
      <c r="E179" s="1" t="s">
        <v>674</v>
      </c>
      <c r="F179">
        <v>2004</v>
      </c>
      <c r="G179">
        <v>315853</v>
      </c>
      <c r="H179" t="s">
        <v>1068</v>
      </c>
      <c r="I179" t="s">
        <v>871</v>
      </c>
      <c r="J179">
        <v>21</v>
      </c>
      <c r="K179" t="s">
        <v>877</v>
      </c>
      <c r="L179" t="b">
        <v>0</v>
      </c>
      <c r="M179" s="2">
        <v>46227.389108796298</v>
      </c>
      <c r="N179">
        <v>2026</v>
      </c>
    </row>
    <row r="180" spans="1:14" x14ac:dyDescent="0.25">
      <c r="A180" s="1" t="s">
        <v>696</v>
      </c>
      <c r="B180" s="1" t="s">
        <v>316</v>
      </c>
      <c r="C180" t="s">
        <v>316</v>
      </c>
      <c r="D180" s="1" t="s">
        <v>518</v>
      </c>
      <c r="E180" s="1" t="s">
        <v>519</v>
      </c>
      <c r="F180">
        <v>2012</v>
      </c>
      <c r="G180">
        <v>226546</v>
      </c>
      <c r="H180" t="s">
        <v>1069</v>
      </c>
      <c r="I180" t="s">
        <v>870</v>
      </c>
      <c r="J180">
        <v>40</v>
      </c>
      <c r="K180" t="s">
        <v>877</v>
      </c>
      <c r="L180" t="b">
        <v>0</v>
      </c>
      <c r="M180" s="2">
        <v>46227.389108796298</v>
      </c>
      <c r="N180">
        <v>2026</v>
      </c>
    </row>
    <row r="181" spans="1:14" x14ac:dyDescent="0.25">
      <c r="A181" s="1" t="s">
        <v>704</v>
      </c>
      <c r="B181" s="1" t="s">
        <v>316</v>
      </c>
      <c r="C181" t="s">
        <v>316</v>
      </c>
      <c r="D181" s="1" t="s">
        <v>518</v>
      </c>
      <c r="E181" s="1" t="s">
        <v>519</v>
      </c>
      <c r="F181">
        <v>2012</v>
      </c>
      <c r="G181">
        <v>253573</v>
      </c>
      <c r="H181" t="s">
        <v>1070</v>
      </c>
      <c r="I181" t="s">
        <v>868</v>
      </c>
      <c r="J181">
        <v>41</v>
      </c>
      <c r="K181" t="s">
        <v>879</v>
      </c>
      <c r="L181" t="b">
        <v>0</v>
      </c>
      <c r="M181" s="2">
        <v>46227.389108796298</v>
      </c>
      <c r="N181">
        <v>2026</v>
      </c>
    </row>
    <row r="182" spans="1:14" x14ac:dyDescent="0.25">
      <c r="A182" s="1" t="s">
        <v>705</v>
      </c>
      <c r="B182" s="1" t="s">
        <v>316</v>
      </c>
      <c r="C182" t="s">
        <v>316</v>
      </c>
      <c r="D182" s="1" t="s">
        <v>518</v>
      </c>
      <c r="E182" s="1" t="s">
        <v>519</v>
      </c>
      <c r="F182">
        <v>2012</v>
      </c>
      <c r="G182">
        <v>207320</v>
      </c>
      <c r="H182" t="s">
        <v>1071</v>
      </c>
      <c r="I182" t="s">
        <v>870</v>
      </c>
      <c r="J182">
        <v>34</v>
      </c>
      <c r="K182" t="s">
        <v>877</v>
      </c>
      <c r="L182" t="b">
        <v>0</v>
      </c>
      <c r="M182" s="2">
        <v>46227.389108796298</v>
      </c>
      <c r="N182">
        <v>2026</v>
      </c>
    </row>
    <row r="183" spans="1:14" x14ac:dyDescent="0.25">
      <c r="A183" s="1" t="s">
        <v>720</v>
      </c>
      <c r="B183" s="1" t="s">
        <v>316</v>
      </c>
      <c r="C183" t="s">
        <v>316</v>
      </c>
      <c r="D183" s="1" t="s">
        <v>720</v>
      </c>
      <c r="E183" s="1" t="s">
        <v>721</v>
      </c>
      <c r="F183">
        <v>2024</v>
      </c>
      <c r="G183">
        <v>180725</v>
      </c>
      <c r="H183" t="s">
        <v>1072</v>
      </c>
      <c r="I183" t="s">
        <v>870</v>
      </c>
      <c r="J183">
        <v>53</v>
      </c>
      <c r="K183" t="s">
        <v>879</v>
      </c>
      <c r="L183" t="b">
        <v>0</v>
      </c>
      <c r="M183" s="2">
        <v>46227.389108796298</v>
      </c>
      <c r="N183">
        <v>2026</v>
      </c>
    </row>
    <row r="184" spans="1:14" x14ac:dyDescent="0.25">
      <c r="A184" s="1" t="s">
        <v>722</v>
      </c>
      <c r="B184" s="1" t="s">
        <v>316</v>
      </c>
      <c r="C184" t="s">
        <v>316</v>
      </c>
      <c r="D184" s="1" t="s">
        <v>606</v>
      </c>
      <c r="E184" s="1" t="s">
        <v>607</v>
      </c>
      <c r="F184">
        <v>1994</v>
      </c>
      <c r="G184">
        <v>210973</v>
      </c>
      <c r="H184" t="s">
        <v>1073</v>
      </c>
      <c r="I184" t="s">
        <v>870</v>
      </c>
      <c r="J184">
        <v>34</v>
      </c>
      <c r="K184" t="s">
        <v>877</v>
      </c>
      <c r="L184" t="b">
        <v>0</v>
      </c>
      <c r="M184" s="2">
        <v>46227.389108796298</v>
      </c>
      <c r="N184">
        <v>2026</v>
      </c>
    </row>
    <row r="185" spans="1:14" x14ac:dyDescent="0.25">
      <c r="A185" s="1" t="s">
        <v>723</v>
      </c>
      <c r="B185" s="1" t="s">
        <v>316</v>
      </c>
      <c r="C185" t="s">
        <v>316</v>
      </c>
      <c r="D185" s="1" t="s">
        <v>572</v>
      </c>
      <c r="E185" s="1" t="s">
        <v>573</v>
      </c>
      <c r="F185">
        <v>1997</v>
      </c>
      <c r="G185">
        <v>330960</v>
      </c>
      <c r="H185" t="s">
        <v>1074</v>
      </c>
      <c r="I185" t="s">
        <v>871</v>
      </c>
      <c r="J185">
        <v>61</v>
      </c>
      <c r="K185" t="s">
        <v>876</v>
      </c>
      <c r="L185" t="b">
        <v>0</v>
      </c>
      <c r="M185" s="2">
        <v>46227.389108796298</v>
      </c>
      <c r="N185">
        <v>2026</v>
      </c>
    </row>
    <row r="186" spans="1:14" x14ac:dyDescent="0.25">
      <c r="A186" s="1" t="s">
        <v>728</v>
      </c>
      <c r="B186" s="1" t="s">
        <v>316</v>
      </c>
      <c r="C186" t="s">
        <v>316</v>
      </c>
      <c r="D186" s="1" t="s">
        <v>524</v>
      </c>
      <c r="E186" s="1" t="s">
        <v>522</v>
      </c>
      <c r="F186">
        <v>2011</v>
      </c>
      <c r="G186">
        <v>301933</v>
      </c>
      <c r="H186" t="s">
        <v>1075</v>
      </c>
      <c r="I186" t="s">
        <v>871</v>
      </c>
      <c r="J186">
        <v>53</v>
      </c>
      <c r="K186" t="s">
        <v>879</v>
      </c>
      <c r="L186" t="b">
        <v>0</v>
      </c>
      <c r="M186" s="2">
        <v>46227.389108796298</v>
      </c>
      <c r="N186">
        <v>2026</v>
      </c>
    </row>
    <row r="187" spans="1:14" x14ac:dyDescent="0.25">
      <c r="A187" s="1" t="s">
        <v>729</v>
      </c>
      <c r="B187" s="1" t="s">
        <v>316</v>
      </c>
      <c r="C187" t="s">
        <v>316</v>
      </c>
      <c r="D187" s="1" t="s">
        <v>518</v>
      </c>
      <c r="E187" s="1" t="s">
        <v>519</v>
      </c>
      <c r="F187">
        <v>2012</v>
      </c>
      <c r="G187">
        <v>221480</v>
      </c>
      <c r="H187" t="s">
        <v>1076</v>
      </c>
      <c r="I187" t="s">
        <v>870</v>
      </c>
      <c r="J187">
        <v>45</v>
      </c>
      <c r="K187" t="s">
        <v>879</v>
      </c>
      <c r="L187" t="b">
        <v>0</v>
      </c>
      <c r="M187" s="2">
        <v>46227.389108796298</v>
      </c>
      <c r="N187">
        <v>2026</v>
      </c>
    </row>
    <row r="188" spans="1:14" x14ac:dyDescent="0.25">
      <c r="A188" s="1" t="s">
        <v>730</v>
      </c>
      <c r="B188" s="1" t="s">
        <v>316</v>
      </c>
      <c r="C188" t="s">
        <v>316</v>
      </c>
      <c r="D188" s="1" t="s">
        <v>572</v>
      </c>
      <c r="E188" s="1" t="s">
        <v>573</v>
      </c>
      <c r="F188">
        <v>1997</v>
      </c>
      <c r="G188">
        <v>294320</v>
      </c>
      <c r="H188" t="s">
        <v>1077</v>
      </c>
      <c r="I188" t="s">
        <v>868</v>
      </c>
      <c r="J188">
        <v>51</v>
      </c>
      <c r="K188" t="s">
        <v>879</v>
      </c>
      <c r="L188" t="b">
        <v>0</v>
      </c>
      <c r="M188" s="2">
        <v>46227.389108796298</v>
      </c>
      <c r="N188">
        <v>2026</v>
      </c>
    </row>
    <row r="189" spans="1:14" x14ac:dyDescent="0.25">
      <c r="A189" s="1" t="s">
        <v>731</v>
      </c>
      <c r="B189" s="1" t="s">
        <v>316</v>
      </c>
      <c r="C189" t="s">
        <v>316</v>
      </c>
      <c r="D189" s="1" t="s">
        <v>732</v>
      </c>
      <c r="E189" s="1" t="s">
        <v>733</v>
      </c>
      <c r="F189">
        <v>2009</v>
      </c>
      <c r="G189">
        <v>249800</v>
      </c>
      <c r="H189" t="s">
        <v>1078</v>
      </c>
      <c r="I189" t="s">
        <v>868</v>
      </c>
      <c r="J189">
        <v>37</v>
      </c>
      <c r="K189" t="s">
        <v>877</v>
      </c>
      <c r="L189" t="b">
        <v>0</v>
      </c>
      <c r="M189" s="2">
        <v>46227.389108796298</v>
      </c>
      <c r="N189">
        <v>2026</v>
      </c>
    </row>
    <row r="190" spans="1:14" x14ac:dyDescent="0.25">
      <c r="A190" s="1" t="s">
        <v>734</v>
      </c>
      <c r="B190" s="1" t="s">
        <v>316</v>
      </c>
      <c r="C190" t="s">
        <v>316</v>
      </c>
      <c r="D190" s="1" t="s">
        <v>518</v>
      </c>
      <c r="E190" s="1" t="s">
        <v>519</v>
      </c>
      <c r="F190">
        <v>2012</v>
      </c>
      <c r="G190">
        <v>231746</v>
      </c>
      <c r="H190" t="s">
        <v>1079</v>
      </c>
      <c r="I190" t="s">
        <v>870</v>
      </c>
      <c r="J190">
        <v>41</v>
      </c>
      <c r="K190" t="s">
        <v>879</v>
      </c>
      <c r="L190" t="b">
        <v>0</v>
      </c>
      <c r="M190" s="2">
        <v>46227.389108796298</v>
      </c>
      <c r="N190">
        <v>2026</v>
      </c>
    </row>
    <row r="191" spans="1:14" x14ac:dyDescent="0.25">
      <c r="A191" s="1" t="s">
        <v>735</v>
      </c>
      <c r="B191" s="1" t="s">
        <v>316</v>
      </c>
      <c r="C191" t="s">
        <v>316</v>
      </c>
      <c r="D191" s="1" t="s">
        <v>317</v>
      </c>
      <c r="E191" s="1" t="s">
        <v>318</v>
      </c>
      <c r="F191">
        <v>2015</v>
      </c>
      <c r="G191">
        <v>189515</v>
      </c>
      <c r="H191" t="s">
        <v>1080</v>
      </c>
      <c r="I191" t="s">
        <v>870</v>
      </c>
      <c r="J191">
        <v>32</v>
      </c>
      <c r="K191" t="s">
        <v>877</v>
      </c>
      <c r="L191" t="b">
        <v>0</v>
      </c>
      <c r="M191" s="2">
        <v>46227.389108796298</v>
      </c>
      <c r="N191">
        <v>2026</v>
      </c>
    </row>
    <row r="192" spans="1:14" x14ac:dyDescent="0.25">
      <c r="A192" s="1" t="s">
        <v>736</v>
      </c>
      <c r="B192" s="1" t="s">
        <v>316</v>
      </c>
      <c r="C192" t="s">
        <v>316</v>
      </c>
      <c r="D192" s="1" t="s">
        <v>459</v>
      </c>
      <c r="E192" s="1" t="s">
        <v>460</v>
      </c>
      <c r="F192">
        <v>1991</v>
      </c>
      <c r="G192">
        <v>213200</v>
      </c>
      <c r="H192" t="s">
        <v>1081</v>
      </c>
      <c r="I192" t="s">
        <v>870</v>
      </c>
      <c r="J192">
        <v>34</v>
      </c>
      <c r="K192" t="s">
        <v>877</v>
      </c>
      <c r="L192" t="b">
        <v>0</v>
      </c>
      <c r="M192" s="2">
        <v>46227.389108796298</v>
      </c>
      <c r="N192">
        <v>2026</v>
      </c>
    </row>
    <row r="193" spans="1:14" x14ac:dyDescent="0.25">
      <c r="A193" s="1" t="s">
        <v>751</v>
      </c>
      <c r="B193" s="1" t="s">
        <v>316</v>
      </c>
      <c r="C193" t="s">
        <v>316</v>
      </c>
      <c r="D193" s="1" t="s">
        <v>459</v>
      </c>
      <c r="E193" s="1" t="s">
        <v>460</v>
      </c>
      <c r="F193">
        <v>1991</v>
      </c>
      <c r="G193">
        <v>213893</v>
      </c>
      <c r="H193" t="s">
        <v>1082</v>
      </c>
      <c r="I193" t="s">
        <v>870</v>
      </c>
      <c r="J193">
        <v>37</v>
      </c>
      <c r="K193" t="s">
        <v>877</v>
      </c>
      <c r="L193" t="b">
        <v>0</v>
      </c>
      <c r="M193" s="2">
        <v>46227.389108796298</v>
      </c>
      <c r="N193">
        <v>2026</v>
      </c>
    </row>
    <row r="194" spans="1:14" x14ac:dyDescent="0.25">
      <c r="A194" s="1" t="s">
        <v>752</v>
      </c>
      <c r="B194" s="1" t="s">
        <v>316</v>
      </c>
      <c r="C194" t="s">
        <v>316</v>
      </c>
      <c r="D194" s="1" t="s">
        <v>459</v>
      </c>
      <c r="E194" s="1" t="s">
        <v>460</v>
      </c>
      <c r="F194">
        <v>1991</v>
      </c>
      <c r="G194">
        <v>315973</v>
      </c>
      <c r="H194" t="s">
        <v>1083</v>
      </c>
      <c r="I194" t="s">
        <v>871</v>
      </c>
      <c r="J194">
        <v>33</v>
      </c>
      <c r="K194" t="s">
        <v>877</v>
      </c>
      <c r="L194" t="b">
        <v>0</v>
      </c>
      <c r="M194" s="2">
        <v>46227.389108796298</v>
      </c>
      <c r="N194">
        <v>2026</v>
      </c>
    </row>
    <row r="195" spans="1:14" x14ac:dyDescent="0.25">
      <c r="A195" s="1" t="s">
        <v>753</v>
      </c>
      <c r="B195" s="1" t="s">
        <v>316</v>
      </c>
      <c r="C195" t="s">
        <v>316</v>
      </c>
      <c r="D195" s="1" t="s">
        <v>732</v>
      </c>
      <c r="E195" s="1" t="s">
        <v>733</v>
      </c>
      <c r="F195">
        <v>2009</v>
      </c>
      <c r="G195">
        <v>262720</v>
      </c>
      <c r="H195" t="s">
        <v>1084</v>
      </c>
      <c r="I195" t="s">
        <v>868</v>
      </c>
      <c r="J195">
        <v>41</v>
      </c>
      <c r="K195" t="s">
        <v>879</v>
      </c>
      <c r="L195" t="b">
        <v>0</v>
      </c>
      <c r="M195" s="2">
        <v>46227.389108796298</v>
      </c>
      <c r="N195">
        <v>2026</v>
      </c>
    </row>
    <row r="196" spans="1:14" x14ac:dyDescent="0.25">
      <c r="A196" s="1" t="s">
        <v>755</v>
      </c>
      <c r="B196" s="1" t="s">
        <v>316</v>
      </c>
      <c r="C196" t="s">
        <v>316</v>
      </c>
      <c r="D196" s="1" t="s">
        <v>756</v>
      </c>
      <c r="E196" s="1" t="s">
        <v>757</v>
      </c>
      <c r="F196">
        <v>2025</v>
      </c>
      <c r="G196">
        <v>168840</v>
      </c>
      <c r="H196" t="s">
        <v>1085</v>
      </c>
      <c r="I196" t="s">
        <v>869</v>
      </c>
      <c r="J196">
        <v>67</v>
      </c>
      <c r="K196" t="s">
        <v>876</v>
      </c>
      <c r="L196" t="b">
        <v>0</v>
      </c>
      <c r="M196" s="2">
        <v>46227.389108796298</v>
      </c>
      <c r="N196">
        <v>2026</v>
      </c>
    </row>
    <row r="197" spans="1:14" x14ac:dyDescent="0.25">
      <c r="A197" s="1" t="s">
        <v>758</v>
      </c>
      <c r="B197" s="1" t="s">
        <v>316</v>
      </c>
      <c r="C197" t="s">
        <v>316</v>
      </c>
      <c r="D197" s="1" t="s">
        <v>756</v>
      </c>
      <c r="E197" s="1" t="s">
        <v>757</v>
      </c>
      <c r="F197">
        <v>2025</v>
      </c>
      <c r="G197">
        <v>164093</v>
      </c>
      <c r="H197" t="s">
        <v>1086</v>
      </c>
      <c r="I197" t="s">
        <v>869</v>
      </c>
      <c r="J197">
        <v>44</v>
      </c>
      <c r="K197" t="s">
        <v>879</v>
      </c>
      <c r="L197" t="b">
        <v>0</v>
      </c>
      <c r="M197" s="2">
        <v>46227.389108796298</v>
      </c>
      <c r="N197">
        <v>2026</v>
      </c>
    </row>
    <row r="198" spans="1:14" x14ac:dyDescent="0.25">
      <c r="A198" s="1" t="s">
        <v>773</v>
      </c>
      <c r="B198" s="1" t="s">
        <v>316</v>
      </c>
      <c r="C198" t="s">
        <v>316</v>
      </c>
      <c r="D198" s="1" t="s">
        <v>572</v>
      </c>
      <c r="E198" s="1" t="s">
        <v>573</v>
      </c>
      <c r="F198">
        <v>1997</v>
      </c>
      <c r="G198">
        <v>323026</v>
      </c>
      <c r="H198" t="s">
        <v>1087</v>
      </c>
      <c r="I198" t="s">
        <v>871</v>
      </c>
      <c r="J198">
        <v>75</v>
      </c>
      <c r="K198" t="s">
        <v>876</v>
      </c>
      <c r="L198" t="b">
        <v>0</v>
      </c>
      <c r="M198" s="2">
        <v>46227.389108796298</v>
      </c>
      <c r="N198">
        <v>2026</v>
      </c>
    </row>
    <row r="199" spans="1:14" x14ac:dyDescent="0.25">
      <c r="A199" s="1" t="s">
        <v>813</v>
      </c>
      <c r="B199" s="1" t="s">
        <v>316</v>
      </c>
      <c r="C199" t="s">
        <v>316</v>
      </c>
      <c r="D199" s="1" t="s">
        <v>572</v>
      </c>
      <c r="E199" s="1" t="s">
        <v>573</v>
      </c>
      <c r="F199">
        <v>1997</v>
      </c>
      <c r="G199">
        <v>306213</v>
      </c>
      <c r="H199" t="s">
        <v>1088</v>
      </c>
      <c r="I199" t="s">
        <v>871</v>
      </c>
      <c r="J199">
        <v>55</v>
      </c>
      <c r="K199" t="s">
        <v>879</v>
      </c>
      <c r="L199" t="b">
        <v>0</v>
      </c>
      <c r="M199" s="2">
        <v>46227.389108796298</v>
      </c>
      <c r="N199">
        <v>2026</v>
      </c>
    </row>
    <row r="200" spans="1:14" x14ac:dyDescent="0.25">
      <c r="A200" s="1" t="s">
        <v>814</v>
      </c>
      <c r="B200" s="1" t="s">
        <v>316</v>
      </c>
      <c r="C200" t="s">
        <v>316</v>
      </c>
      <c r="D200" s="1" t="s">
        <v>572</v>
      </c>
      <c r="E200" s="1" t="s">
        <v>573</v>
      </c>
      <c r="F200">
        <v>1997</v>
      </c>
      <c r="G200">
        <v>310680</v>
      </c>
      <c r="H200" t="s">
        <v>1089</v>
      </c>
      <c r="I200" t="s">
        <v>871</v>
      </c>
      <c r="J200">
        <v>50</v>
      </c>
      <c r="K200" t="s">
        <v>879</v>
      </c>
      <c r="L200" t="b">
        <v>0</v>
      </c>
      <c r="M200" s="2">
        <v>46227.389108796298</v>
      </c>
      <c r="N200">
        <v>2026</v>
      </c>
    </row>
    <row r="201" spans="1:14" x14ac:dyDescent="0.25">
      <c r="A201" s="1" t="s">
        <v>815</v>
      </c>
      <c r="B201" s="1" t="s">
        <v>316</v>
      </c>
      <c r="C201" t="s">
        <v>316</v>
      </c>
      <c r="D201" s="1" t="s">
        <v>572</v>
      </c>
      <c r="E201" s="1" t="s">
        <v>573</v>
      </c>
      <c r="F201">
        <v>1997</v>
      </c>
      <c r="G201">
        <v>288026</v>
      </c>
      <c r="H201" t="s">
        <v>1090</v>
      </c>
      <c r="I201" t="s">
        <v>868</v>
      </c>
      <c r="J201">
        <v>63</v>
      </c>
      <c r="K201" t="s">
        <v>876</v>
      </c>
      <c r="L201" t="b">
        <v>0</v>
      </c>
      <c r="M201" s="2">
        <v>46227.389108796298</v>
      </c>
      <c r="N201">
        <v>2026</v>
      </c>
    </row>
    <row r="202" spans="1:14" x14ac:dyDescent="0.25">
      <c r="A202" s="1" t="s">
        <v>816</v>
      </c>
      <c r="B202" s="1" t="s">
        <v>316</v>
      </c>
      <c r="C202" t="s">
        <v>316</v>
      </c>
      <c r="D202" s="1" t="s">
        <v>572</v>
      </c>
      <c r="E202" s="1" t="s">
        <v>573</v>
      </c>
      <c r="F202">
        <v>1997</v>
      </c>
      <c r="G202">
        <v>294520</v>
      </c>
      <c r="H202" t="s">
        <v>1091</v>
      </c>
      <c r="I202" t="s">
        <v>868</v>
      </c>
      <c r="J202">
        <v>52</v>
      </c>
      <c r="K202" t="s">
        <v>879</v>
      </c>
      <c r="L202" t="b">
        <v>0</v>
      </c>
      <c r="M202" s="2">
        <v>46227.389108796298</v>
      </c>
      <c r="N202">
        <v>2026</v>
      </c>
    </row>
    <row r="203" spans="1:14" x14ac:dyDescent="0.25">
      <c r="A203" s="1" t="s">
        <v>817</v>
      </c>
      <c r="B203" s="1" t="s">
        <v>316</v>
      </c>
      <c r="C203" t="s">
        <v>316</v>
      </c>
      <c r="D203" s="1" t="s">
        <v>574</v>
      </c>
      <c r="E203" s="1" t="s">
        <v>818</v>
      </c>
      <c r="F203">
        <v>2003</v>
      </c>
      <c r="G203">
        <v>292506</v>
      </c>
      <c r="H203" t="s">
        <v>1092</v>
      </c>
      <c r="I203" t="s">
        <v>868</v>
      </c>
      <c r="J203">
        <v>39</v>
      </c>
      <c r="K203" t="s">
        <v>877</v>
      </c>
      <c r="L203" t="b">
        <v>0</v>
      </c>
      <c r="M203" s="2">
        <v>46227.389108796298</v>
      </c>
      <c r="N203">
        <v>2026</v>
      </c>
    </row>
    <row r="204" spans="1:14" x14ac:dyDescent="0.25">
      <c r="A204" s="1" t="s">
        <v>826</v>
      </c>
      <c r="B204" s="1" t="s">
        <v>316</v>
      </c>
      <c r="C204" t="s">
        <v>316</v>
      </c>
      <c r="D204" s="1" t="s">
        <v>827</v>
      </c>
      <c r="E204" s="1" t="s">
        <v>828</v>
      </c>
      <c r="F204">
        <v>2025</v>
      </c>
      <c r="G204">
        <v>210200</v>
      </c>
      <c r="H204" t="s">
        <v>1093</v>
      </c>
      <c r="I204" t="s">
        <v>870</v>
      </c>
      <c r="J204">
        <v>68</v>
      </c>
      <c r="K204" t="s">
        <v>876</v>
      </c>
      <c r="L204" t="b">
        <v>0</v>
      </c>
      <c r="M204" s="2">
        <v>46227.389108796298</v>
      </c>
      <c r="N204">
        <v>2026</v>
      </c>
    </row>
    <row r="205" spans="1:14" x14ac:dyDescent="0.25">
      <c r="A205" s="1" t="s">
        <v>846</v>
      </c>
      <c r="B205" s="1" t="s">
        <v>316</v>
      </c>
      <c r="C205" t="s">
        <v>316</v>
      </c>
      <c r="D205" s="1" t="s">
        <v>574</v>
      </c>
      <c r="E205" s="1" t="s">
        <v>818</v>
      </c>
      <c r="F205">
        <v>2003</v>
      </c>
      <c r="G205">
        <v>257053</v>
      </c>
      <c r="H205" t="s">
        <v>1094</v>
      </c>
      <c r="I205" t="s">
        <v>868</v>
      </c>
      <c r="J205">
        <v>59</v>
      </c>
      <c r="K205" t="s">
        <v>879</v>
      </c>
      <c r="L205" t="b">
        <v>0</v>
      </c>
      <c r="M205" s="2">
        <v>46227.389108796298</v>
      </c>
      <c r="N205">
        <v>2026</v>
      </c>
    </row>
    <row r="206" spans="1:14" x14ac:dyDescent="0.25">
      <c r="A206" s="1" t="s">
        <v>474</v>
      </c>
      <c r="B206" s="1" t="s">
        <v>26</v>
      </c>
      <c r="C206" t="s">
        <v>26</v>
      </c>
      <c r="D206" s="1" t="s">
        <v>475</v>
      </c>
      <c r="E206" s="1" t="s">
        <v>476</v>
      </c>
      <c r="F206">
        <v>2011</v>
      </c>
      <c r="G206">
        <v>227706</v>
      </c>
      <c r="H206" t="s">
        <v>1095</v>
      </c>
      <c r="I206" t="s">
        <v>870</v>
      </c>
      <c r="J206">
        <v>37</v>
      </c>
      <c r="K206" t="s">
        <v>877</v>
      </c>
      <c r="L206" t="b">
        <v>0</v>
      </c>
      <c r="M206" s="2">
        <v>46227.389108796298</v>
      </c>
      <c r="N206">
        <v>2026</v>
      </c>
    </row>
    <row r="207" spans="1:14" x14ac:dyDescent="0.25">
      <c r="A207" s="1" t="s">
        <v>477</v>
      </c>
      <c r="B207" s="1" t="s">
        <v>26</v>
      </c>
      <c r="C207" t="s">
        <v>26</v>
      </c>
      <c r="D207" s="1" t="s">
        <v>477</v>
      </c>
      <c r="E207" s="1" t="s">
        <v>478</v>
      </c>
      <c r="F207">
        <v>2020</v>
      </c>
      <c r="G207">
        <v>179530</v>
      </c>
      <c r="H207" t="s">
        <v>1096</v>
      </c>
      <c r="I207" t="s">
        <v>869</v>
      </c>
      <c r="J207">
        <v>35</v>
      </c>
      <c r="K207" t="s">
        <v>877</v>
      </c>
      <c r="L207" t="b">
        <v>0</v>
      </c>
      <c r="M207" s="2">
        <v>46227.389108796298</v>
      </c>
      <c r="N207">
        <v>2026</v>
      </c>
    </row>
    <row r="208" spans="1:14" x14ac:dyDescent="0.25">
      <c r="A208" s="1" t="s">
        <v>479</v>
      </c>
      <c r="B208" s="1" t="s">
        <v>26</v>
      </c>
      <c r="C208" t="s">
        <v>26</v>
      </c>
      <c r="D208" s="1" t="s">
        <v>477</v>
      </c>
      <c r="E208" s="1" t="s">
        <v>478</v>
      </c>
      <c r="F208">
        <v>2020</v>
      </c>
      <c r="G208">
        <v>167650</v>
      </c>
      <c r="H208" t="s">
        <v>1097</v>
      </c>
      <c r="I208" t="s">
        <v>869</v>
      </c>
      <c r="J208">
        <v>35</v>
      </c>
      <c r="K208" t="s">
        <v>877</v>
      </c>
      <c r="L208" t="b">
        <v>0</v>
      </c>
      <c r="M208" s="2">
        <v>46227.389108796298</v>
      </c>
      <c r="N208">
        <v>2026</v>
      </c>
    </row>
    <row r="209" spans="1:14" x14ac:dyDescent="0.25">
      <c r="A209" s="1" t="s">
        <v>482</v>
      </c>
      <c r="B209" s="1" t="s">
        <v>26</v>
      </c>
      <c r="C209" t="s">
        <v>26</v>
      </c>
      <c r="D209" s="1" t="s">
        <v>61</v>
      </c>
      <c r="E209" s="1" t="s">
        <v>62</v>
      </c>
      <c r="F209">
        <v>2012</v>
      </c>
      <c r="G209">
        <v>238533</v>
      </c>
      <c r="H209" t="s">
        <v>1098</v>
      </c>
      <c r="I209" t="s">
        <v>870</v>
      </c>
      <c r="J209">
        <v>39</v>
      </c>
      <c r="K209" t="s">
        <v>877</v>
      </c>
      <c r="L209" t="b">
        <v>0</v>
      </c>
      <c r="M209" s="2">
        <v>46227.389108796298</v>
      </c>
      <c r="N209">
        <v>2026</v>
      </c>
    </row>
    <row r="210" spans="1:14" x14ac:dyDescent="0.25">
      <c r="A210" s="1" t="s">
        <v>484</v>
      </c>
      <c r="B210" s="1" t="s">
        <v>26</v>
      </c>
      <c r="C210" t="s">
        <v>26</v>
      </c>
      <c r="D210" s="1" t="s">
        <v>477</v>
      </c>
      <c r="E210" s="1" t="s">
        <v>478</v>
      </c>
      <c r="F210">
        <v>2020</v>
      </c>
      <c r="G210">
        <v>205368</v>
      </c>
      <c r="H210" t="s">
        <v>1099</v>
      </c>
      <c r="I210" t="s">
        <v>870</v>
      </c>
      <c r="J210">
        <v>38</v>
      </c>
      <c r="K210" t="s">
        <v>877</v>
      </c>
      <c r="L210" t="b">
        <v>0</v>
      </c>
      <c r="M210" s="2">
        <v>46227.389108796298</v>
      </c>
      <c r="N210">
        <v>2026</v>
      </c>
    </row>
    <row r="211" spans="1:14" x14ac:dyDescent="0.25">
      <c r="A211" s="1" t="s">
        <v>494</v>
      </c>
      <c r="B211" s="1" t="s">
        <v>26</v>
      </c>
      <c r="C211" t="s">
        <v>26</v>
      </c>
      <c r="D211" s="1" t="s">
        <v>475</v>
      </c>
      <c r="E211" s="1" t="s">
        <v>476</v>
      </c>
      <c r="F211">
        <v>2011</v>
      </c>
      <c r="G211">
        <v>209374</v>
      </c>
      <c r="H211" t="s">
        <v>1100</v>
      </c>
      <c r="I211" t="s">
        <v>870</v>
      </c>
      <c r="J211">
        <v>42</v>
      </c>
      <c r="K211" t="s">
        <v>879</v>
      </c>
      <c r="L211" t="b">
        <v>0</v>
      </c>
      <c r="M211" s="2">
        <v>46227.389108796298</v>
      </c>
      <c r="N211">
        <v>2026</v>
      </c>
    </row>
    <row r="212" spans="1:14" x14ac:dyDescent="0.25">
      <c r="A212" s="1" t="s">
        <v>496</v>
      </c>
      <c r="B212" s="1" t="s">
        <v>26</v>
      </c>
      <c r="C212" t="s">
        <v>26</v>
      </c>
      <c r="D212" s="1" t="s">
        <v>475</v>
      </c>
      <c r="E212" s="1" t="s">
        <v>476</v>
      </c>
      <c r="F212">
        <v>2011</v>
      </c>
      <c r="G212">
        <v>215013</v>
      </c>
      <c r="H212" t="s">
        <v>1101</v>
      </c>
      <c r="I212" t="s">
        <v>870</v>
      </c>
      <c r="J212">
        <v>36</v>
      </c>
      <c r="K212" t="s">
        <v>877</v>
      </c>
      <c r="L212" t="b">
        <v>0</v>
      </c>
      <c r="M212" s="2">
        <v>46227.389108796298</v>
      </c>
      <c r="N212">
        <v>2026</v>
      </c>
    </row>
    <row r="213" spans="1:14" x14ac:dyDescent="0.25">
      <c r="A213" s="1" t="s">
        <v>497</v>
      </c>
      <c r="B213" s="1" t="s">
        <v>26</v>
      </c>
      <c r="C213" t="s">
        <v>26</v>
      </c>
      <c r="D213" s="1" t="s">
        <v>61</v>
      </c>
      <c r="E213" s="1" t="s">
        <v>62</v>
      </c>
      <c r="F213">
        <v>2012</v>
      </c>
      <c r="G213">
        <v>246653</v>
      </c>
      <c r="H213" t="s">
        <v>1102</v>
      </c>
      <c r="I213" t="s">
        <v>868</v>
      </c>
      <c r="J213">
        <v>37</v>
      </c>
      <c r="K213" t="s">
        <v>877</v>
      </c>
      <c r="L213" t="b">
        <v>0</v>
      </c>
      <c r="M213" s="2">
        <v>46227.389108796298</v>
      </c>
      <c r="N213">
        <v>2026</v>
      </c>
    </row>
    <row r="214" spans="1:14" x14ac:dyDescent="0.25">
      <c r="A214" s="1" t="s">
        <v>498</v>
      </c>
      <c r="B214" s="1" t="s">
        <v>26</v>
      </c>
      <c r="C214" t="s">
        <v>26</v>
      </c>
      <c r="D214" s="1" t="s">
        <v>30</v>
      </c>
      <c r="E214" s="1" t="s">
        <v>499</v>
      </c>
      <c r="F214">
        <v>2014</v>
      </c>
      <c r="G214">
        <v>252133</v>
      </c>
      <c r="H214" t="s">
        <v>1103</v>
      </c>
      <c r="I214" t="s">
        <v>868</v>
      </c>
      <c r="J214">
        <v>40</v>
      </c>
      <c r="K214" t="s">
        <v>877</v>
      </c>
      <c r="L214" t="b">
        <v>0</v>
      </c>
      <c r="M214" s="2">
        <v>46227.389108796298</v>
      </c>
      <c r="N214">
        <v>2026</v>
      </c>
    </row>
    <row r="215" spans="1:14" x14ac:dyDescent="0.25">
      <c r="A215" s="1" t="s">
        <v>500</v>
      </c>
      <c r="B215" s="1" t="s">
        <v>26</v>
      </c>
      <c r="C215" t="s">
        <v>26</v>
      </c>
      <c r="D215" s="1" t="s">
        <v>30</v>
      </c>
      <c r="E215" s="1" t="s">
        <v>499</v>
      </c>
      <c r="F215">
        <v>2014</v>
      </c>
      <c r="G215">
        <v>289533</v>
      </c>
      <c r="H215" t="s">
        <v>1104</v>
      </c>
      <c r="I215" t="s">
        <v>868</v>
      </c>
      <c r="J215">
        <v>36</v>
      </c>
      <c r="K215" t="s">
        <v>877</v>
      </c>
      <c r="L215" t="b">
        <v>0</v>
      </c>
      <c r="M215" s="2">
        <v>46227.389108796298</v>
      </c>
      <c r="N215">
        <v>2026</v>
      </c>
    </row>
    <row r="216" spans="1:14" x14ac:dyDescent="0.25">
      <c r="A216" s="1" t="s">
        <v>501</v>
      </c>
      <c r="B216" s="1" t="s">
        <v>26</v>
      </c>
      <c r="C216" t="s">
        <v>26</v>
      </c>
      <c r="D216" s="1" t="s">
        <v>30</v>
      </c>
      <c r="E216" s="1" t="s">
        <v>499</v>
      </c>
      <c r="F216">
        <v>2014</v>
      </c>
      <c r="G216">
        <v>234373</v>
      </c>
      <c r="H216" t="s">
        <v>1105</v>
      </c>
      <c r="I216" t="s">
        <v>870</v>
      </c>
      <c r="J216">
        <v>71</v>
      </c>
      <c r="K216" t="s">
        <v>876</v>
      </c>
      <c r="L216" t="b">
        <v>0</v>
      </c>
      <c r="M216" s="2">
        <v>46227.389108796298</v>
      </c>
      <c r="N216">
        <v>2026</v>
      </c>
    </row>
    <row r="217" spans="1:14" x14ac:dyDescent="0.25">
      <c r="A217" s="1" t="s">
        <v>502</v>
      </c>
      <c r="B217" s="1" t="s">
        <v>26</v>
      </c>
      <c r="C217" t="s">
        <v>26</v>
      </c>
      <c r="D217" s="1" t="s">
        <v>61</v>
      </c>
      <c r="E217" s="1" t="s">
        <v>62</v>
      </c>
      <c r="F217">
        <v>2012</v>
      </c>
      <c r="G217">
        <v>200639</v>
      </c>
      <c r="H217" t="s">
        <v>1106</v>
      </c>
      <c r="I217" t="s">
        <v>870</v>
      </c>
      <c r="J217">
        <v>36</v>
      </c>
      <c r="K217" t="s">
        <v>877</v>
      </c>
      <c r="L217" t="b">
        <v>0</v>
      </c>
      <c r="M217" s="2">
        <v>46227.389108796298</v>
      </c>
      <c r="N217">
        <v>2026</v>
      </c>
    </row>
    <row r="218" spans="1:14" x14ac:dyDescent="0.25">
      <c r="A218" s="1" t="s">
        <v>503</v>
      </c>
      <c r="B218" s="1" t="s">
        <v>26</v>
      </c>
      <c r="C218" t="s">
        <v>26</v>
      </c>
      <c r="D218" s="1" t="s">
        <v>27</v>
      </c>
      <c r="E218" s="1" t="s">
        <v>28</v>
      </c>
      <c r="F218">
        <v>2018</v>
      </c>
      <c r="G218">
        <v>192493</v>
      </c>
      <c r="H218" t="s">
        <v>1107</v>
      </c>
      <c r="I218" t="s">
        <v>870</v>
      </c>
      <c r="J218">
        <v>22</v>
      </c>
      <c r="K218" t="s">
        <v>877</v>
      </c>
      <c r="L218" t="b">
        <v>0</v>
      </c>
      <c r="M218" s="2">
        <v>46227.389108796298</v>
      </c>
      <c r="N218">
        <v>2026</v>
      </c>
    </row>
    <row r="219" spans="1:14" x14ac:dyDescent="0.25">
      <c r="A219" s="1" t="s">
        <v>504</v>
      </c>
      <c r="B219" s="1" t="s">
        <v>26</v>
      </c>
      <c r="C219" t="s">
        <v>26</v>
      </c>
      <c r="D219" s="1" t="s">
        <v>27</v>
      </c>
      <c r="E219" s="1" t="s">
        <v>28</v>
      </c>
      <c r="F219">
        <v>2018</v>
      </c>
      <c r="G219">
        <v>218560</v>
      </c>
      <c r="H219" t="s">
        <v>1108</v>
      </c>
      <c r="I219" t="s">
        <v>870</v>
      </c>
      <c r="J219">
        <v>25</v>
      </c>
      <c r="K219" t="s">
        <v>877</v>
      </c>
      <c r="L219" t="b">
        <v>0</v>
      </c>
      <c r="M219" s="2">
        <v>46227.389108796298</v>
      </c>
      <c r="N219">
        <v>2026</v>
      </c>
    </row>
    <row r="220" spans="1:14" x14ac:dyDescent="0.25">
      <c r="A220" s="1" t="s">
        <v>505</v>
      </c>
      <c r="B220" s="1" t="s">
        <v>26</v>
      </c>
      <c r="C220" t="s">
        <v>26</v>
      </c>
      <c r="D220" s="1" t="s">
        <v>477</v>
      </c>
      <c r="E220" s="1" t="s">
        <v>478</v>
      </c>
      <c r="F220">
        <v>2020</v>
      </c>
      <c r="G220">
        <v>254927</v>
      </c>
      <c r="H220" t="s">
        <v>1109</v>
      </c>
      <c r="I220" t="s">
        <v>868</v>
      </c>
      <c r="J220">
        <v>41</v>
      </c>
      <c r="K220" t="s">
        <v>879</v>
      </c>
      <c r="L220" t="b">
        <v>0</v>
      </c>
      <c r="M220" s="2">
        <v>46227.389108796298</v>
      </c>
      <c r="N220">
        <v>2026</v>
      </c>
    </row>
    <row r="221" spans="1:14" x14ac:dyDescent="0.25">
      <c r="A221" s="1" t="s">
        <v>506</v>
      </c>
      <c r="B221" s="1" t="s">
        <v>26</v>
      </c>
      <c r="C221" t="s">
        <v>26</v>
      </c>
      <c r="D221" s="1" t="s">
        <v>477</v>
      </c>
      <c r="E221" s="1" t="s">
        <v>478</v>
      </c>
      <c r="F221">
        <v>2020</v>
      </c>
      <c r="G221">
        <v>199741</v>
      </c>
      <c r="H221" t="s">
        <v>1110</v>
      </c>
      <c r="I221" t="s">
        <v>870</v>
      </c>
      <c r="J221">
        <v>37</v>
      </c>
      <c r="K221" t="s">
        <v>877</v>
      </c>
      <c r="L221" t="b">
        <v>0</v>
      </c>
      <c r="M221" s="2">
        <v>46227.389108796298</v>
      </c>
      <c r="N221">
        <v>2026</v>
      </c>
    </row>
    <row r="222" spans="1:14" x14ac:dyDescent="0.25">
      <c r="A222" s="1" t="s">
        <v>507</v>
      </c>
      <c r="B222" s="1" t="s">
        <v>26</v>
      </c>
      <c r="C222" t="s">
        <v>26</v>
      </c>
      <c r="D222" s="1" t="s">
        <v>144</v>
      </c>
      <c r="E222" s="1" t="s">
        <v>145</v>
      </c>
      <c r="F222">
        <v>2014</v>
      </c>
      <c r="G222">
        <v>264493</v>
      </c>
      <c r="H222" t="s">
        <v>1111</v>
      </c>
      <c r="I222" t="s">
        <v>868</v>
      </c>
      <c r="J222">
        <v>10</v>
      </c>
      <c r="K222" t="s">
        <v>878</v>
      </c>
      <c r="L222" t="b">
        <v>0</v>
      </c>
      <c r="M222" s="2">
        <v>46227.389108796298</v>
      </c>
      <c r="N222">
        <v>2026</v>
      </c>
    </row>
    <row r="223" spans="1:14" x14ac:dyDescent="0.25">
      <c r="A223" s="1" t="s">
        <v>508</v>
      </c>
      <c r="B223" s="1" t="s">
        <v>26</v>
      </c>
      <c r="C223" t="s">
        <v>26</v>
      </c>
      <c r="D223" s="1" t="s">
        <v>475</v>
      </c>
      <c r="E223" s="1" t="s">
        <v>476</v>
      </c>
      <c r="F223">
        <v>2011</v>
      </c>
      <c r="G223">
        <v>232573</v>
      </c>
      <c r="H223" t="s">
        <v>1112</v>
      </c>
      <c r="I223" t="s">
        <v>870</v>
      </c>
      <c r="J223">
        <v>65</v>
      </c>
      <c r="K223" t="s">
        <v>876</v>
      </c>
      <c r="L223" t="b">
        <v>0</v>
      </c>
      <c r="M223" s="2">
        <v>46227.389108796298</v>
      </c>
      <c r="N223">
        <v>2026</v>
      </c>
    </row>
    <row r="224" spans="1:14" x14ac:dyDescent="0.25">
      <c r="A224" s="1" t="s">
        <v>509</v>
      </c>
      <c r="B224" s="1" t="s">
        <v>26</v>
      </c>
      <c r="C224" t="s">
        <v>26</v>
      </c>
      <c r="D224" s="1" t="s">
        <v>475</v>
      </c>
      <c r="E224" s="1" t="s">
        <v>476</v>
      </c>
      <c r="F224">
        <v>2011</v>
      </c>
      <c r="G224">
        <v>208906</v>
      </c>
      <c r="H224" t="s">
        <v>1113</v>
      </c>
      <c r="I224" t="s">
        <v>870</v>
      </c>
      <c r="J224">
        <v>47</v>
      </c>
      <c r="K224" t="s">
        <v>879</v>
      </c>
      <c r="L224" t="b">
        <v>0</v>
      </c>
      <c r="M224" s="2">
        <v>46227.389108796298</v>
      </c>
      <c r="N224">
        <v>2026</v>
      </c>
    </row>
    <row r="225" spans="1:14" x14ac:dyDescent="0.25">
      <c r="A225" s="1" t="s">
        <v>511</v>
      </c>
      <c r="B225" s="1" t="s">
        <v>26</v>
      </c>
      <c r="C225" t="s">
        <v>26</v>
      </c>
      <c r="D225" s="1" t="s">
        <v>475</v>
      </c>
      <c r="E225" s="1" t="s">
        <v>476</v>
      </c>
      <c r="F225">
        <v>2011</v>
      </c>
      <c r="G225">
        <v>239893</v>
      </c>
      <c r="H225" t="s">
        <v>1114</v>
      </c>
      <c r="I225" t="s">
        <v>870</v>
      </c>
      <c r="J225">
        <v>41</v>
      </c>
      <c r="K225" t="s">
        <v>879</v>
      </c>
      <c r="L225" t="b">
        <v>0</v>
      </c>
      <c r="M225" s="2">
        <v>46227.389108796298</v>
      </c>
      <c r="N225">
        <v>2026</v>
      </c>
    </row>
    <row r="226" spans="1:14" x14ac:dyDescent="0.25">
      <c r="A226" s="1" t="s">
        <v>512</v>
      </c>
      <c r="B226" s="1" t="s">
        <v>26</v>
      </c>
      <c r="C226" t="s">
        <v>26</v>
      </c>
      <c r="D226" s="1" t="s">
        <v>30</v>
      </c>
      <c r="E226" s="1" t="s">
        <v>499</v>
      </c>
      <c r="F226">
        <v>2014</v>
      </c>
      <c r="G226">
        <v>261973</v>
      </c>
      <c r="H226" t="s">
        <v>1115</v>
      </c>
      <c r="I226" t="s">
        <v>868</v>
      </c>
      <c r="J226">
        <v>55</v>
      </c>
      <c r="K226" t="s">
        <v>879</v>
      </c>
      <c r="L226" t="b">
        <v>0</v>
      </c>
      <c r="M226" s="2">
        <v>46227.389108796298</v>
      </c>
      <c r="N226">
        <v>2026</v>
      </c>
    </row>
    <row r="227" spans="1:14" x14ac:dyDescent="0.25">
      <c r="A227" s="1" t="s">
        <v>513</v>
      </c>
      <c r="B227" s="1" t="s">
        <v>26</v>
      </c>
      <c r="C227" t="s">
        <v>26</v>
      </c>
      <c r="D227" s="1" t="s">
        <v>61</v>
      </c>
      <c r="E227" s="1" t="s">
        <v>62</v>
      </c>
      <c r="F227">
        <v>2012</v>
      </c>
      <c r="G227">
        <v>258839</v>
      </c>
      <c r="H227" t="s">
        <v>1116</v>
      </c>
      <c r="I227" t="s">
        <v>868</v>
      </c>
      <c r="J227">
        <v>49</v>
      </c>
      <c r="K227" t="s">
        <v>879</v>
      </c>
      <c r="L227" t="b">
        <v>0</v>
      </c>
      <c r="M227" s="2">
        <v>46227.389108796298</v>
      </c>
      <c r="N227">
        <v>2026</v>
      </c>
    </row>
    <row r="228" spans="1:14" x14ac:dyDescent="0.25">
      <c r="A228" s="1" t="s">
        <v>528</v>
      </c>
      <c r="B228" s="1" t="s">
        <v>26</v>
      </c>
      <c r="C228" t="s">
        <v>26</v>
      </c>
      <c r="D228" s="1" t="s">
        <v>528</v>
      </c>
      <c r="E228" s="1" t="s">
        <v>529</v>
      </c>
      <c r="F228">
        <v>2017</v>
      </c>
      <c r="G228">
        <v>196853</v>
      </c>
      <c r="H228" t="s">
        <v>1117</v>
      </c>
      <c r="I228" t="s">
        <v>870</v>
      </c>
      <c r="J228">
        <v>21</v>
      </c>
      <c r="K228" t="s">
        <v>877</v>
      </c>
      <c r="L228" t="b">
        <v>0</v>
      </c>
      <c r="M228" s="2">
        <v>46227.389108796298</v>
      </c>
      <c r="N228">
        <v>2026</v>
      </c>
    </row>
    <row r="229" spans="1:14" x14ac:dyDescent="0.25">
      <c r="A229" s="1" t="s">
        <v>530</v>
      </c>
      <c r="B229" s="1" t="s">
        <v>26</v>
      </c>
      <c r="C229" t="s">
        <v>26</v>
      </c>
      <c r="D229" s="1" t="s">
        <v>30</v>
      </c>
      <c r="E229" s="1" t="s">
        <v>499</v>
      </c>
      <c r="F229">
        <v>2014</v>
      </c>
      <c r="G229">
        <v>228160</v>
      </c>
      <c r="H229" t="s">
        <v>1118</v>
      </c>
      <c r="I229" t="s">
        <v>870</v>
      </c>
      <c r="J229">
        <v>36</v>
      </c>
      <c r="K229" t="s">
        <v>877</v>
      </c>
      <c r="L229" t="b">
        <v>0</v>
      </c>
      <c r="M229" s="2">
        <v>46227.389108796298</v>
      </c>
      <c r="N229">
        <v>2026</v>
      </c>
    </row>
    <row r="230" spans="1:14" x14ac:dyDescent="0.25">
      <c r="A230" s="1" t="s">
        <v>531</v>
      </c>
      <c r="B230" s="1" t="s">
        <v>26</v>
      </c>
      <c r="C230" t="s">
        <v>26</v>
      </c>
      <c r="D230" s="1" t="s">
        <v>61</v>
      </c>
      <c r="E230" s="1" t="s">
        <v>62</v>
      </c>
      <c r="F230">
        <v>2012</v>
      </c>
      <c r="G230">
        <v>248133</v>
      </c>
      <c r="H230" t="s">
        <v>1119</v>
      </c>
      <c r="I230" t="s">
        <v>868</v>
      </c>
      <c r="J230">
        <v>36</v>
      </c>
      <c r="K230" t="s">
        <v>877</v>
      </c>
      <c r="L230" t="b">
        <v>0</v>
      </c>
      <c r="M230" s="2">
        <v>46227.389108796298</v>
      </c>
      <c r="N230">
        <v>2026</v>
      </c>
    </row>
    <row r="231" spans="1:14" x14ac:dyDescent="0.25">
      <c r="A231" s="1" t="s">
        <v>532</v>
      </c>
      <c r="B231" s="1" t="s">
        <v>26</v>
      </c>
      <c r="C231" t="s">
        <v>26</v>
      </c>
      <c r="D231" s="1" t="s">
        <v>533</v>
      </c>
      <c r="E231" s="1" t="s">
        <v>534</v>
      </c>
      <c r="F231">
        <v>2015</v>
      </c>
      <c r="G231">
        <v>275720</v>
      </c>
      <c r="H231" t="s">
        <v>1053</v>
      </c>
      <c r="I231" t="s">
        <v>868</v>
      </c>
      <c r="J231">
        <v>43</v>
      </c>
      <c r="K231" t="s">
        <v>879</v>
      </c>
      <c r="L231" t="b">
        <v>0</v>
      </c>
      <c r="M231" s="2">
        <v>46227.389108796298</v>
      </c>
      <c r="N231">
        <v>2026</v>
      </c>
    </row>
    <row r="232" spans="1:14" x14ac:dyDescent="0.25">
      <c r="A232" s="1" t="s">
        <v>535</v>
      </c>
      <c r="B232" s="1" t="s">
        <v>26</v>
      </c>
      <c r="C232" t="s">
        <v>26</v>
      </c>
      <c r="D232" s="1" t="s">
        <v>263</v>
      </c>
      <c r="E232" s="1" t="s">
        <v>264</v>
      </c>
      <c r="F232">
        <v>2021</v>
      </c>
      <c r="G232">
        <v>225041</v>
      </c>
      <c r="H232" t="s">
        <v>1120</v>
      </c>
      <c r="I232" t="s">
        <v>870</v>
      </c>
      <c r="J232">
        <v>23</v>
      </c>
      <c r="K232" t="s">
        <v>877</v>
      </c>
      <c r="L232" t="b">
        <v>0</v>
      </c>
      <c r="M232" s="2">
        <v>46227.389108796298</v>
      </c>
      <c r="N232">
        <v>2026</v>
      </c>
    </row>
    <row r="233" spans="1:14" x14ac:dyDescent="0.25">
      <c r="A233" s="1" t="s">
        <v>543</v>
      </c>
      <c r="B233" s="1" t="s">
        <v>26</v>
      </c>
      <c r="C233" t="s">
        <v>26</v>
      </c>
      <c r="D233" s="1" t="s">
        <v>30</v>
      </c>
      <c r="E233" s="1" t="s">
        <v>499</v>
      </c>
      <c r="F233">
        <v>2014</v>
      </c>
      <c r="G233">
        <v>257253</v>
      </c>
      <c r="H233" t="s">
        <v>1121</v>
      </c>
      <c r="I233" t="s">
        <v>868</v>
      </c>
      <c r="J233">
        <v>36</v>
      </c>
      <c r="K233" t="s">
        <v>877</v>
      </c>
      <c r="L233" t="b">
        <v>0</v>
      </c>
      <c r="M233" s="2">
        <v>46227.389108796298</v>
      </c>
      <c r="N233">
        <v>2026</v>
      </c>
    </row>
    <row r="234" spans="1:14" x14ac:dyDescent="0.25">
      <c r="A234" s="1" t="s">
        <v>552</v>
      </c>
      <c r="B234" s="1" t="s">
        <v>26</v>
      </c>
      <c r="C234" t="s">
        <v>26</v>
      </c>
      <c r="D234" s="1" t="s">
        <v>475</v>
      </c>
      <c r="E234" s="1" t="s">
        <v>476</v>
      </c>
      <c r="F234">
        <v>2011</v>
      </c>
      <c r="G234">
        <v>247186</v>
      </c>
      <c r="H234" t="s">
        <v>1122</v>
      </c>
      <c r="I234" t="s">
        <v>868</v>
      </c>
      <c r="J234">
        <v>76</v>
      </c>
      <c r="K234" t="s">
        <v>876</v>
      </c>
      <c r="L234" t="b">
        <v>0</v>
      </c>
      <c r="M234" s="2">
        <v>46227.389108796298</v>
      </c>
      <c r="N234">
        <v>2026</v>
      </c>
    </row>
    <row r="235" spans="1:14" x14ac:dyDescent="0.25">
      <c r="A235" s="1" t="s">
        <v>553</v>
      </c>
      <c r="B235" s="1" t="s">
        <v>26</v>
      </c>
      <c r="C235" t="s">
        <v>26</v>
      </c>
      <c r="D235" s="1" t="s">
        <v>553</v>
      </c>
      <c r="E235" s="1" t="s">
        <v>554</v>
      </c>
      <c r="F235">
        <v>2016</v>
      </c>
      <c r="G235">
        <v>217760</v>
      </c>
      <c r="H235" t="s">
        <v>1123</v>
      </c>
      <c r="I235" t="s">
        <v>870</v>
      </c>
      <c r="J235">
        <v>55</v>
      </c>
      <c r="K235" t="s">
        <v>879</v>
      </c>
      <c r="L235" t="b">
        <v>0</v>
      </c>
      <c r="M235" s="2">
        <v>46227.389108796298</v>
      </c>
      <c r="N235">
        <v>2026</v>
      </c>
    </row>
    <row r="236" spans="1:14" x14ac:dyDescent="0.25">
      <c r="A236" s="1" t="s">
        <v>555</v>
      </c>
      <c r="B236" s="1" t="s">
        <v>26</v>
      </c>
      <c r="C236" t="s">
        <v>26</v>
      </c>
      <c r="D236" s="1" t="s">
        <v>556</v>
      </c>
      <c r="E236" s="1" t="s">
        <v>557</v>
      </c>
      <c r="F236">
        <v>2020</v>
      </c>
      <c r="G236">
        <v>198818</v>
      </c>
      <c r="H236" t="s">
        <v>1124</v>
      </c>
      <c r="I236" t="s">
        <v>870</v>
      </c>
      <c r="J236">
        <v>24</v>
      </c>
      <c r="K236" t="s">
        <v>877</v>
      </c>
      <c r="L236" t="b">
        <v>0</v>
      </c>
      <c r="M236" s="2">
        <v>46227.389108796298</v>
      </c>
      <c r="N236">
        <v>2026</v>
      </c>
    </row>
    <row r="237" spans="1:14" x14ac:dyDescent="0.25">
      <c r="A237" s="1" t="s">
        <v>562</v>
      </c>
      <c r="B237" s="1" t="s">
        <v>26</v>
      </c>
      <c r="C237" t="s">
        <v>26</v>
      </c>
      <c r="D237" s="1" t="s">
        <v>562</v>
      </c>
      <c r="E237" s="1" t="s">
        <v>295</v>
      </c>
      <c r="F237">
        <v>2022</v>
      </c>
      <c r="G237">
        <v>252221</v>
      </c>
      <c r="H237" t="s">
        <v>1125</v>
      </c>
      <c r="I237" t="s">
        <v>868</v>
      </c>
      <c r="J237">
        <v>42</v>
      </c>
      <c r="K237" t="s">
        <v>879</v>
      </c>
      <c r="L237" t="b">
        <v>0</v>
      </c>
      <c r="M237" s="2">
        <v>46227.389108796298</v>
      </c>
      <c r="N237">
        <v>2026</v>
      </c>
    </row>
    <row r="238" spans="1:14" x14ac:dyDescent="0.25">
      <c r="A238" s="1" t="s">
        <v>585</v>
      </c>
      <c r="B238" s="1" t="s">
        <v>26</v>
      </c>
      <c r="C238" t="s">
        <v>26</v>
      </c>
      <c r="D238" s="1" t="s">
        <v>475</v>
      </c>
      <c r="E238" s="1" t="s">
        <v>476</v>
      </c>
      <c r="F238">
        <v>2011</v>
      </c>
      <c r="G238">
        <v>207920</v>
      </c>
      <c r="H238" t="s">
        <v>1126</v>
      </c>
      <c r="I238" t="s">
        <v>870</v>
      </c>
      <c r="J238">
        <v>35</v>
      </c>
      <c r="K238" t="s">
        <v>877</v>
      </c>
      <c r="L238" t="b">
        <v>0</v>
      </c>
      <c r="M238" s="2">
        <v>46227.389108796298</v>
      </c>
      <c r="N238">
        <v>2026</v>
      </c>
    </row>
    <row r="239" spans="1:14" x14ac:dyDescent="0.25">
      <c r="A239" s="1" t="s">
        <v>586</v>
      </c>
      <c r="B239" s="1" t="s">
        <v>26</v>
      </c>
      <c r="C239" t="s">
        <v>26</v>
      </c>
      <c r="D239" s="1" t="s">
        <v>533</v>
      </c>
      <c r="E239" s="1" t="s">
        <v>534</v>
      </c>
      <c r="F239">
        <v>2015</v>
      </c>
      <c r="G239">
        <v>220105</v>
      </c>
      <c r="H239" t="s">
        <v>1127</v>
      </c>
      <c r="I239" t="s">
        <v>870</v>
      </c>
      <c r="J239">
        <v>42</v>
      </c>
      <c r="K239" t="s">
        <v>879</v>
      </c>
      <c r="L239" t="b">
        <v>0</v>
      </c>
      <c r="M239" s="2">
        <v>46227.389108796298</v>
      </c>
      <c r="N239">
        <v>2026</v>
      </c>
    </row>
    <row r="240" spans="1:14" x14ac:dyDescent="0.25">
      <c r="A240" s="1" t="s">
        <v>592</v>
      </c>
      <c r="B240" s="1" t="s">
        <v>26</v>
      </c>
      <c r="C240" t="s">
        <v>26</v>
      </c>
      <c r="D240" s="1" t="s">
        <v>592</v>
      </c>
      <c r="E240" s="1" t="s">
        <v>593</v>
      </c>
      <c r="F240">
        <v>2020</v>
      </c>
      <c r="G240">
        <v>190219</v>
      </c>
      <c r="H240" t="s">
        <v>1128</v>
      </c>
      <c r="I240" t="s">
        <v>870</v>
      </c>
      <c r="J240">
        <v>41</v>
      </c>
      <c r="K240" t="s">
        <v>879</v>
      </c>
      <c r="L240" t="b">
        <v>0</v>
      </c>
      <c r="M240" s="2">
        <v>46227.389108796298</v>
      </c>
      <c r="N240">
        <v>2026</v>
      </c>
    </row>
    <row r="241" spans="1:14" x14ac:dyDescent="0.25">
      <c r="A241" s="1" t="s">
        <v>594</v>
      </c>
      <c r="B241" s="1" t="s">
        <v>26</v>
      </c>
      <c r="C241" t="s">
        <v>26</v>
      </c>
      <c r="D241" s="1" t="s">
        <v>595</v>
      </c>
      <c r="E241" s="1" t="s">
        <v>596</v>
      </c>
      <c r="F241">
        <v>2017</v>
      </c>
      <c r="G241">
        <v>206600</v>
      </c>
      <c r="H241" t="s">
        <v>1129</v>
      </c>
      <c r="I241" t="s">
        <v>870</v>
      </c>
      <c r="J241">
        <v>38</v>
      </c>
      <c r="K241" t="s">
        <v>877</v>
      </c>
      <c r="L241" t="b">
        <v>0</v>
      </c>
      <c r="M241" s="2">
        <v>46227.389108796298</v>
      </c>
      <c r="N241">
        <v>2026</v>
      </c>
    </row>
    <row r="242" spans="1:14" x14ac:dyDescent="0.25">
      <c r="A242" s="1" t="s">
        <v>602</v>
      </c>
      <c r="B242" s="1" t="s">
        <v>26</v>
      </c>
      <c r="C242" t="s">
        <v>26</v>
      </c>
      <c r="D242" s="1" t="s">
        <v>30</v>
      </c>
      <c r="E242" s="1" t="s">
        <v>499</v>
      </c>
      <c r="F242">
        <v>2014</v>
      </c>
      <c r="G242">
        <v>224693</v>
      </c>
      <c r="H242" t="s">
        <v>1130</v>
      </c>
      <c r="I242" t="s">
        <v>870</v>
      </c>
      <c r="J242">
        <v>39</v>
      </c>
      <c r="K242" t="s">
        <v>877</v>
      </c>
      <c r="L242" t="b">
        <v>0</v>
      </c>
      <c r="M242" s="2">
        <v>46227.389108796298</v>
      </c>
      <c r="N242">
        <v>2026</v>
      </c>
    </row>
    <row r="243" spans="1:14" x14ac:dyDescent="0.25">
      <c r="A243" s="1" t="s">
        <v>618</v>
      </c>
      <c r="B243" s="1" t="s">
        <v>26</v>
      </c>
      <c r="C243" t="s">
        <v>26</v>
      </c>
      <c r="D243" s="1" t="s">
        <v>618</v>
      </c>
      <c r="E243" s="1" t="s">
        <v>619</v>
      </c>
      <c r="F243">
        <v>2022</v>
      </c>
      <c r="G243">
        <v>163244</v>
      </c>
      <c r="H243" t="s">
        <v>1131</v>
      </c>
      <c r="I243" t="s">
        <v>869</v>
      </c>
      <c r="J243">
        <v>53</v>
      </c>
      <c r="K243" t="s">
        <v>879</v>
      </c>
      <c r="L243" t="b">
        <v>0</v>
      </c>
      <c r="M243" s="2">
        <v>46227.389108796298</v>
      </c>
      <c r="N243">
        <v>2026</v>
      </c>
    </row>
    <row r="244" spans="1:14" x14ac:dyDescent="0.25">
      <c r="A244" s="1" t="s">
        <v>37</v>
      </c>
      <c r="B244" s="1" t="s">
        <v>26</v>
      </c>
      <c r="C244" t="s">
        <v>26</v>
      </c>
      <c r="D244" s="1" t="s">
        <v>475</v>
      </c>
      <c r="E244" s="1" t="s">
        <v>476</v>
      </c>
      <c r="F244">
        <v>2011</v>
      </c>
      <c r="G244">
        <v>251200</v>
      </c>
      <c r="H244" t="s">
        <v>1132</v>
      </c>
      <c r="I244" t="s">
        <v>868</v>
      </c>
      <c r="J244">
        <v>62</v>
      </c>
      <c r="K244" t="s">
        <v>876</v>
      </c>
      <c r="L244" t="b">
        <v>0</v>
      </c>
      <c r="M244" s="2">
        <v>46227.389108796298</v>
      </c>
      <c r="N244">
        <v>2026</v>
      </c>
    </row>
    <row r="245" spans="1:14" x14ac:dyDescent="0.25">
      <c r="A245" s="1" t="s">
        <v>623</v>
      </c>
      <c r="B245" s="1" t="s">
        <v>26</v>
      </c>
      <c r="C245" t="s">
        <v>26</v>
      </c>
      <c r="D245" s="1" t="s">
        <v>61</v>
      </c>
      <c r="E245" s="1" t="s">
        <v>62</v>
      </c>
      <c r="F245">
        <v>2012</v>
      </c>
      <c r="G245">
        <v>225013</v>
      </c>
      <c r="H245" t="s">
        <v>1133</v>
      </c>
      <c r="I245" t="s">
        <v>870</v>
      </c>
      <c r="J245">
        <v>58</v>
      </c>
      <c r="K245" t="s">
        <v>879</v>
      </c>
      <c r="L245" t="b">
        <v>0</v>
      </c>
      <c r="M245" s="2">
        <v>46227.389108796298</v>
      </c>
      <c r="N245">
        <v>2026</v>
      </c>
    </row>
    <row r="246" spans="1:14" x14ac:dyDescent="0.25">
      <c r="A246" s="1" t="s">
        <v>624</v>
      </c>
      <c r="B246" s="1" t="s">
        <v>26</v>
      </c>
      <c r="C246" t="s">
        <v>26</v>
      </c>
      <c r="D246" s="1" t="s">
        <v>595</v>
      </c>
      <c r="E246" s="1" t="s">
        <v>596</v>
      </c>
      <c r="F246">
        <v>2017</v>
      </c>
      <c r="G246">
        <v>253760</v>
      </c>
      <c r="H246" t="s">
        <v>1134</v>
      </c>
      <c r="I246" t="s">
        <v>868</v>
      </c>
      <c r="J246">
        <v>78</v>
      </c>
      <c r="K246" t="s">
        <v>876</v>
      </c>
      <c r="L246" t="b">
        <v>0</v>
      </c>
      <c r="M246" s="2">
        <v>46227.389108796298</v>
      </c>
      <c r="N246">
        <v>2026</v>
      </c>
    </row>
    <row r="247" spans="1:14" x14ac:dyDescent="0.25">
      <c r="A247" s="1" t="s">
        <v>217</v>
      </c>
      <c r="B247" s="1" t="s">
        <v>26</v>
      </c>
      <c r="C247" t="s">
        <v>26</v>
      </c>
      <c r="D247" s="1" t="s">
        <v>595</v>
      </c>
      <c r="E247" s="1" t="s">
        <v>596</v>
      </c>
      <c r="F247">
        <v>2017</v>
      </c>
      <c r="G247">
        <v>228640</v>
      </c>
      <c r="H247" t="s">
        <v>1135</v>
      </c>
      <c r="I247" t="s">
        <v>870</v>
      </c>
      <c r="J247">
        <v>43</v>
      </c>
      <c r="K247" t="s">
        <v>879</v>
      </c>
      <c r="L247" t="b">
        <v>0</v>
      </c>
      <c r="M247" s="2">
        <v>46227.389108796298</v>
      </c>
      <c r="N247">
        <v>2026</v>
      </c>
    </row>
    <row r="248" spans="1:14" x14ac:dyDescent="0.25">
      <c r="A248" s="1" t="s">
        <v>625</v>
      </c>
      <c r="B248" s="1" t="s">
        <v>26</v>
      </c>
      <c r="C248" t="s">
        <v>26</v>
      </c>
      <c r="D248" s="1" t="s">
        <v>61</v>
      </c>
      <c r="E248" s="1" t="s">
        <v>62</v>
      </c>
      <c r="F248">
        <v>2012</v>
      </c>
      <c r="G248">
        <v>184093</v>
      </c>
      <c r="H248" t="s">
        <v>1136</v>
      </c>
      <c r="I248" t="s">
        <v>870</v>
      </c>
      <c r="J248">
        <v>35</v>
      </c>
      <c r="K248" t="s">
        <v>877</v>
      </c>
      <c r="L248" t="b">
        <v>0</v>
      </c>
      <c r="M248" s="2">
        <v>46227.389108796298</v>
      </c>
      <c r="N248">
        <v>2026</v>
      </c>
    </row>
    <row r="249" spans="1:14" x14ac:dyDescent="0.25">
      <c r="A249" s="1" t="s">
        <v>311</v>
      </c>
      <c r="B249" s="1" t="s">
        <v>26</v>
      </c>
      <c r="C249" t="s">
        <v>26</v>
      </c>
      <c r="D249" s="1" t="s">
        <v>61</v>
      </c>
      <c r="E249" s="1" t="s">
        <v>62</v>
      </c>
      <c r="F249">
        <v>2012</v>
      </c>
      <c r="G249">
        <v>253600</v>
      </c>
      <c r="H249" t="s">
        <v>1137</v>
      </c>
      <c r="I249" t="s">
        <v>868</v>
      </c>
      <c r="J249">
        <v>41</v>
      </c>
      <c r="K249" t="s">
        <v>879</v>
      </c>
      <c r="L249" t="b">
        <v>0</v>
      </c>
      <c r="M249" s="2">
        <v>46227.389108796298</v>
      </c>
      <c r="N249">
        <v>2026</v>
      </c>
    </row>
    <row r="250" spans="1:14" x14ac:dyDescent="0.25">
      <c r="A250" s="1" t="s">
        <v>626</v>
      </c>
      <c r="B250" s="1" t="s">
        <v>26</v>
      </c>
      <c r="C250" t="s">
        <v>26</v>
      </c>
      <c r="D250" s="1" t="s">
        <v>61</v>
      </c>
      <c r="E250" s="1" t="s">
        <v>62</v>
      </c>
      <c r="F250">
        <v>2012</v>
      </c>
      <c r="G250">
        <v>236640</v>
      </c>
      <c r="H250" t="s">
        <v>1138</v>
      </c>
      <c r="I250" t="s">
        <v>870</v>
      </c>
      <c r="J250">
        <v>36</v>
      </c>
      <c r="K250" t="s">
        <v>877</v>
      </c>
      <c r="L250" t="b">
        <v>0</v>
      </c>
      <c r="M250" s="2">
        <v>46227.389108796298</v>
      </c>
      <c r="N250">
        <v>2026</v>
      </c>
    </row>
    <row r="251" spans="1:14" x14ac:dyDescent="0.25">
      <c r="A251" s="1" t="s">
        <v>627</v>
      </c>
      <c r="B251" s="1" t="s">
        <v>26</v>
      </c>
      <c r="C251" t="s">
        <v>26</v>
      </c>
      <c r="D251" s="1" t="s">
        <v>475</v>
      </c>
      <c r="E251" s="1" t="s">
        <v>476</v>
      </c>
      <c r="F251">
        <v>2011</v>
      </c>
      <c r="G251">
        <v>224866</v>
      </c>
      <c r="H251" t="s">
        <v>1139</v>
      </c>
      <c r="I251" t="s">
        <v>870</v>
      </c>
      <c r="J251">
        <v>53</v>
      </c>
      <c r="K251" t="s">
        <v>879</v>
      </c>
      <c r="L251" t="b">
        <v>0</v>
      </c>
      <c r="M251" s="2">
        <v>46227.389108796298</v>
      </c>
      <c r="N251">
        <v>2026</v>
      </c>
    </row>
    <row r="252" spans="1:14" x14ac:dyDescent="0.25">
      <c r="A252" s="1" t="s">
        <v>628</v>
      </c>
      <c r="B252" s="1" t="s">
        <v>26</v>
      </c>
      <c r="C252" t="s">
        <v>26</v>
      </c>
      <c r="D252" s="1" t="s">
        <v>475</v>
      </c>
      <c r="E252" s="1" t="s">
        <v>476</v>
      </c>
      <c r="F252">
        <v>2011</v>
      </c>
      <c r="G252">
        <v>262746</v>
      </c>
      <c r="H252" t="s">
        <v>1140</v>
      </c>
      <c r="I252" t="s">
        <v>868</v>
      </c>
      <c r="J252">
        <v>45</v>
      </c>
      <c r="K252" t="s">
        <v>879</v>
      </c>
      <c r="L252" t="b">
        <v>0</v>
      </c>
      <c r="M252" s="2">
        <v>46227.389108796298</v>
      </c>
      <c r="N252">
        <v>2026</v>
      </c>
    </row>
    <row r="253" spans="1:14" x14ac:dyDescent="0.25">
      <c r="A253" s="1" t="s">
        <v>629</v>
      </c>
      <c r="B253" s="1" t="s">
        <v>26</v>
      </c>
      <c r="C253" t="s">
        <v>26</v>
      </c>
      <c r="D253" s="1" t="s">
        <v>475</v>
      </c>
      <c r="E253" s="1" t="s">
        <v>476</v>
      </c>
      <c r="F253">
        <v>2011</v>
      </c>
      <c r="G253">
        <v>237773</v>
      </c>
      <c r="H253" t="s">
        <v>1141</v>
      </c>
      <c r="I253" t="s">
        <v>870</v>
      </c>
      <c r="J253">
        <v>52</v>
      </c>
      <c r="K253" t="s">
        <v>879</v>
      </c>
      <c r="L253" t="b">
        <v>0</v>
      </c>
      <c r="M253" s="2">
        <v>46227.389108796298</v>
      </c>
      <c r="N253">
        <v>2026</v>
      </c>
    </row>
    <row r="254" spans="1:14" x14ac:dyDescent="0.25">
      <c r="A254" s="1" t="s">
        <v>630</v>
      </c>
      <c r="B254" s="1" t="s">
        <v>26</v>
      </c>
      <c r="C254" t="s">
        <v>26</v>
      </c>
      <c r="D254" s="1" t="s">
        <v>30</v>
      </c>
      <c r="E254" s="1" t="s">
        <v>499</v>
      </c>
      <c r="F254">
        <v>2014</v>
      </c>
      <c r="G254">
        <v>237080</v>
      </c>
      <c r="H254" t="s">
        <v>1142</v>
      </c>
      <c r="I254" t="s">
        <v>870</v>
      </c>
      <c r="J254">
        <v>47</v>
      </c>
      <c r="K254" t="s">
        <v>879</v>
      </c>
      <c r="L254" t="b">
        <v>0</v>
      </c>
      <c r="M254" s="2">
        <v>46227.389108796298</v>
      </c>
      <c r="N254">
        <v>2026</v>
      </c>
    </row>
    <row r="255" spans="1:14" x14ac:dyDescent="0.25">
      <c r="A255" s="1" t="s">
        <v>633</v>
      </c>
      <c r="B255" s="1" t="s">
        <v>26</v>
      </c>
      <c r="C255" t="s">
        <v>26</v>
      </c>
      <c r="D255" s="1" t="s">
        <v>389</v>
      </c>
      <c r="E255" s="1" t="s">
        <v>390</v>
      </c>
      <c r="F255">
        <v>2022</v>
      </c>
      <c r="G255">
        <v>189471</v>
      </c>
      <c r="H255" t="s">
        <v>1143</v>
      </c>
      <c r="I255" t="s">
        <v>870</v>
      </c>
      <c r="J255">
        <v>45</v>
      </c>
      <c r="K255" t="s">
        <v>879</v>
      </c>
      <c r="L255" t="b">
        <v>0</v>
      </c>
      <c r="M255" s="2">
        <v>46227.389108796298</v>
      </c>
      <c r="N255">
        <v>2026</v>
      </c>
    </row>
    <row r="256" spans="1:14" x14ac:dyDescent="0.25">
      <c r="A256" s="1" t="s">
        <v>634</v>
      </c>
      <c r="B256" s="1" t="s">
        <v>26</v>
      </c>
      <c r="C256" t="s">
        <v>26</v>
      </c>
      <c r="D256" s="1" t="s">
        <v>389</v>
      </c>
      <c r="E256" s="1" t="s">
        <v>390</v>
      </c>
      <c r="F256">
        <v>2022</v>
      </c>
      <c r="G256">
        <v>193831</v>
      </c>
      <c r="H256" t="s">
        <v>1144</v>
      </c>
      <c r="I256" t="s">
        <v>870</v>
      </c>
      <c r="J256">
        <v>44</v>
      </c>
      <c r="K256" t="s">
        <v>879</v>
      </c>
      <c r="L256" t="b">
        <v>0</v>
      </c>
      <c r="M256" s="2">
        <v>46227.389108796298</v>
      </c>
      <c r="N256">
        <v>2026</v>
      </c>
    </row>
    <row r="257" spans="1:14" x14ac:dyDescent="0.25">
      <c r="A257" s="1" t="s">
        <v>635</v>
      </c>
      <c r="B257" s="1" t="s">
        <v>26</v>
      </c>
      <c r="C257" t="s">
        <v>26</v>
      </c>
      <c r="D257" s="1" t="s">
        <v>389</v>
      </c>
      <c r="E257" s="1" t="s">
        <v>390</v>
      </c>
      <c r="F257">
        <v>2022</v>
      </c>
      <c r="G257">
        <v>224210</v>
      </c>
      <c r="H257" t="s">
        <v>1145</v>
      </c>
      <c r="I257" t="s">
        <v>870</v>
      </c>
      <c r="J257">
        <v>42</v>
      </c>
      <c r="K257" t="s">
        <v>879</v>
      </c>
      <c r="L257" t="b">
        <v>0</v>
      </c>
      <c r="M257" s="2">
        <v>46227.389108796298</v>
      </c>
      <c r="N257">
        <v>2026</v>
      </c>
    </row>
    <row r="258" spans="1:14" x14ac:dyDescent="0.25">
      <c r="A258" s="1" t="s">
        <v>667</v>
      </c>
      <c r="B258" s="1" t="s">
        <v>26</v>
      </c>
      <c r="C258" t="s">
        <v>26</v>
      </c>
      <c r="D258" s="1" t="s">
        <v>30</v>
      </c>
      <c r="E258" s="1" t="s">
        <v>499</v>
      </c>
      <c r="F258">
        <v>2014</v>
      </c>
      <c r="G258">
        <v>240706</v>
      </c>
      <c r="H258" t="s">
        <v>1146</v>
      </c>
      <c r="I258" t="s">
        <v>868</v>
      </c>
      <c r="J258">
        <v>42</v>
      </c>
      <c r="K258" t="s">
        <v>879</v>
      </c>
      <c r="L258" t="b">
        <v>0</v>
      </c>
      <c r="M258" s="2">
        <v>46227.389108796298</v>
      </c>
      <c r="N258">
        <v>2026</v>
      </c>
    </row>
    <row r="259" spans="1:14" x14ac:dyDescent="0.25">
      <c r="A259" s="1" t="s">
        <v>748</v>
      </c>
      <c r="B259" s="1" t="s">
        <v>26</v>
      </c>
      <c r="C259" t="s">
        <v>26</v>
      </c>
      <c r="D259" s="1" t="s">
        <v>748</v>
      </c>
      <c r="E259" s="1" t="s">
        <v>749</v>
      </c>
      <c r="F259">
        <v>2025</v>
      </c>
      <c r="G259">
        <v>160431</v>
      </c>
      <c r="H259" t="s">
        <v>1147</v>
      </c>
      <c r="I259" t="s">
        <v>869</v>
      </c>
      <c r="J259">
        <v>47</v>
      </c>
      <c r="K259" t="s">
        <v>879</v>
      </c>
      <c r="L259" t="b">
        <v>0</v>
      </c>
      <c r="M259" s="2">
        <v>46227.389108796298</v>
      </c>
      <c r="N259">
        <v>2026</v>
      </c>
    </row>
    <row r="260" spans="1:14" x14ac:dyDescent="0.25">
      <c r="A260" s="1" t="s">
        <v>762</v>
      </c>
      <c r="B260" s="1" t="s">
        <v>26</v>
      </c>
      <c r="C260" t="s">
        <v>26</v>
      </c>
      <c r="D260" s="1" t="s">
        <v>61</v>
      </c>
      <c r="E260" s="1" t="s">
        <v>62</v>
      </c>
      <c r="F260">
        <v>2012</v>
      </c>
      <c r="G260">
        <v>249253</v>
      </c>
      <c r="H260" t="s">
        <v>1148</v>
      </c>
      <c r="I260" t="s">
        <v>868</v>
      </c>
      <c r="J260">
        <v>71</v>
      </c>
      <c r="K260" t="s">
        <v>876</v>
      </c>
      <c r="L260" t="b">
        <v>0</v>
      </c>
      <c r="M260" s="2">
        <v>46227.389108796298</v>
      </c>
      <c r="N260">
        <v>2026</v>
      </c>
    </row>
    <row r="261" spans="1:14" x14ac:dyDescent="0.25">
      <c r="A261" s="1" t="s">
        <v>763</v>
      </c>
      <c r="B261" s="1" t="s">
        <v>26</v>
      </c>
      <c r="C261" t="s">
        <v>26</v>
      </c>
      <c r="D261" s="1" t="s">
        <v>477</v>
      </c>
      <c r="E261" s="1" t="s">
        <v>478</v>
      </c>
      <c r="F261">
        <v>2020</v>
      </c>
      <c r="G261">
        <v>212106</v>
      </c>
      <c r="H261" t="s">
        <v>1149</v>
      </c>
      <c r="I261" t="s">
        <v>870</v>
      </c>
      <c r="J261">
        <v>42</v>
      </c>
      <c r="K261" t="s">
        <v>879</v>
      </c>
      <c r="L261" t="b">
        <v>0</v>
      </c>
      <c r="M261" s="2">
        <v>46227.389108796298</v>
      </c>
      <c r="N261">
        <v>2026</v>
      </c>
    </row>
    <row r="262" spans="1:14" x14ac:dyDescent="0.25">
      <c r="A262" s="1" t="s">
        <v>764</v>
      </c>
      <c r="B262" s="1" t="s">
        <v>26</v>
      </c>
      <c r="C262" t="s">
        <v>26</v>
      </c>
      <c r="D262" s="1" t="s">
        <v>477</v>
      </c>
      <c r="E262" s="1" t="s">
        <v>478</v>
      </c>
      <c r="F262">
        <v>2020</v>
      </c>
      <c r="G262">
        <v>210211</v>
      </c>
      <c r="H262" t="s">
        <v>1150</v>
      </c>
      <c r="I262" t="s">
        <v>870</v>
      </c>
      <c r="J262">
        <v>36</v>
      </c>
      <c r="K262" t="s">
        <v>877</v>
      </c>
      <c r="L262" t="b">
        <v>0</v>
      </c>
      <c r="M262" s="2">
        <v>46227.389108796298</v>
      </c>
      <c r="N262">
        <v>2026</v>
      </c>
    </row>
    <row r="263" spans="1:14" x14ac:dyDescent="0.25">
      <c r="A263" s="1" t="s">
        <v>765</v>
      </c>
      <c r="B263" s="1" t="s">
        <v>26</v>
      </c>
      <c r="C263" t="s">
        <v>26</v>
      </c>
      <c r="D263" s="1" t="s">
        <v>477</v>
      </c>
      <c r="E263" s="1" t="s">
        <v>478</v>
      </c>
      <c r="F263">
        <v>2020</v>
      </c>
      <c r="G263">
        <v>209221</v>
      </c>
      <c r="H263" t="s">
        <v>1151</v>
      </c>
      <c r="I263" t="s">
        <v>870</v>
      </c>
      <c r="J263">
        <v>47</v>
      </c>
      <c r="K263" t="s">
        <v>879</v>
      </c>
      <c r="L263" t="b">
        <v>0</v>
      </c>
      <c r="M263" s="2">
        <v>46227.389108796298</v>
      </c>
      <c r="N263">
        <v>2026</v>
      </c>
    </row>
    <row r="264" spans="1:14" x14ac:dyDescent="0.25">
      <c r="A264" s="1" t="s">
        <v>766</v>
      </c>
      <c r="B264" s="1" t="s">
        <v>26</v>
      </c>
      <c r="C264" t="s">
        <v>26</v>
      </c>
      <c r="D264" s="1" t="s">
        <v>477</v>
      </c>
      <c r="E264" s="1" t="s">
        <v>478</v>
      </c>
      <c r="F264">
        <v>2020</v>
      </c>
      <c r="G264">
        <v>189157</v>
      </c>
      <c r="H264" t="s">
        <v>1152</v>
      </c>
      <c r="I264" t="s">
        <v>870</v>
      </c>
      <c r="J264">
        <v>52</v>
      </c>
      <c r="K264" t="s">
        <v>879</v>
      </c>
      <c r="L264" t="b">
        <v>0</v>
      </c>
      <c r="M264" s="2">
        <v>46227.389108796298</v>
      </c>
      <c r="N264">
        <v>2026</v>
      </c>
    </row>
    <row r="265" spans="1:14" x14ac:dyDescent="0.25">
      <c r="A265" s="1" t="s">
        <v>767</v>
      </c>
      <c r="B265" s="1" t="s">
        <v>26</v>
      </c>
      <c r="C265" t="s">
        <v>26</v>
      </c>
      <c r="D265" s="1" t="s">
        <v>595</v>
      </c>
      <c r="E265" s="1" t="s">
        <v>596</v>
      </c>
      <c r="F265">
        <v>2017</v>
      </c>
      <c r="G265">
        <v>253826</v>
      </c>
      <c r="H265" t="s">
        <v>1153</v>
      </c>
      <c r="I265" t="s">
        <v>868</v>
      </c>
      <c r="J265">
        <v>39</v>
      </c>
      <c r="K265" t="s">
        <v>877</v>
      </c>
      <c r="L265" t="b">
        <v>0</v>
      </c>
      <c r="M265" s="2">
        <v>46227.389108796298</v>
      </c>
      <c r="N265">
        <v>2026</v>
      </c>
    </row>
    <row r="266" spans="1:14" x14ac:dyDescent="0.25">
      <c r="A266" s="1" t="s">
        <v>774</v>
      </c>
      <c r="B266" s="1" t="s">
        <v>26</v>
      </c>
      <c r="C266" t="s">
        <v>26</v>
      </c>
      <c r="D266" s="1" t="s">
        <v>775</v>
      </c>
      <c r="E266" s="1" t="s">
        <v>776</v>
      </c>
      <c r="F266">
        <v>2025</v>
      </c>
      <c r="G266">
        <v>263301</v>
      </c>
      <c r="H266" t="s">
        <v>1154</v>
      </c>
      <c r="I266" t="s">
        <v>868</v>
      </c>
      <c r="J266">
        <v>32</v>
      </c>
      <c r="K266" t="s">
        <v>877</v>
      </c>
      <c r="L266" t="b">
        <v>0</v>
      </c>
      <c r="M266" s="2">
        <v>46227.389108796298</v>
      </c>
      <c r="N266">
        <v>2026</v>
      </c>
    </row>
    <row r="267" spans="1:14" x14ac:dyDescent="0.25">
      <c r="A267" s="1" t="s">
        <v>777</v>
      </c>
      <c r="B267" s="1" t="s">
        <v>26</v>
      </c>
      <c r="C267" t="s">
        <v>26</v>
      </c>
      <c r="D267" s="1" t="s">
        <v>777</v>
      </c>
      <c r="E267" s="1" t="s">
        <v>778</v>
      </c>
      <c r="F267">
        <v>2020</v>
      </c>
      <c r="G267">
        <v>221139</v>
      </c>
      <c r="H267" t="s">
        <v>1155</v>
      </c>
      <c r="I267" t="s">
        <v>870</v>
      </c>
      <c r="J267">
        <v>49</v>
      </c>
      <c r="K267" t="s">
        <v>879</v>
      </c>
      <c r="L267" t="b">
        <v>0</v>
      </c>
      <c r="M267" s="2">
        <v>46227.389108796298</v>
      </c>
      <c r="N267">
        <v>2026</v>
      </c>
    </row>
    <row r="268" spans="1:14" x14ac:dyDescent="0.25">
      <c r="A268" s="1" t="s">
        <v>779</v>
      </c>
      <c r="B268" s="1" t="s">
        <v>26</v>
      </c>
      <c r="C268" t="s">
        <v>26</v>
      </c>
      <c r="D268" s="1" t="s">
        <v>61</v>
      </c>
      <c r="E268" s="1" t="s">
        <v>62</v>
      </c>
      <c r="F268">
        <v>2012</v>
      </c>
      <c r="G268">
        <v>256640</v>
      </c>
      <c r="H268" t="s">
        <v>1156</v>
      </c>
      <c r="I268" t="s">
        <v>868</v>
      </c>
      <c r="J268">
        <v>64</v>
      </c>
      <c r="K268" t="s">
        <v>876</v>
      </c>
      <c r="L268" t="b">
        <v>0</v>
      </c>
      <c r="M268" s="2">
        <v>46227.389108796298</v>
      </c>
      <c r="N268">
        <v>2026</v>
      </c>
    </row>
    <row r="269" spans="1:14" x14ac:dyDescent="0.25">
      <c r="A269" s="1" t="s">
        <v>780</v>
      </c>
      <c r="B269" s="1" t="s">
        <v>26</v>
      </c>
      <c r="C269" t="s">
        <v>26</v>
      </c>
      <c r="D269" s="1" t="s">
        <v>30</v>
      </c>
      <c r="E269" s="1" t="s">
        <v>499</v>
      </c>
      <c r="F269">
        <v>2014</v>
      </c>
      <c r="G269">
        <v>287733</v>
      </c>
      <c r="H269" t="s">
        <v>1157</v>
      </c>
      <c r="I269" t="s">
        <v>868</v>
      </c>
      <c r="J269">
        <v>68</v>
      </c>
      <c r="K269" t="s">
        <v>876</v>
      </c>
      <c r="L269" t="b">
        <v>0</v>
      </c>
      <c r="M269" s="2">
        <v>46227.389108796298</v>
      </c>
      <c r="N269">
        <v>2026</v>
      </c>
    </row>
    <row r="270" spans="1:14" x14ac:dyDescent="0.25">
      <c r="A270" s="1" t="s">
        <v>595</v>
      </c>
      <c r="B270" s="1" t="s">
        <v>26</v>
      </c>
      <c r="C270" t="s">
        <v>26</v>
      </c>
      <c r="D270" s="1" t="s">
        <v>595</v>
      </c>
      <c r="E270" s="1" t="s">
        <v>781</v>
      </c>
      <c r="F270">
        <v>2017</v>
      </c>
      <c r="G270">
        <v>307106</v>
      </c>
      <c r="H270" t="s">
        <v>1158</v>
      </c>
      <c r="I270" t="s">
        <v>871</v>
      </c>
      <c r="J270">
        <v>51</v>
      </c>
      <c r="K270" t="s">
        <v>879</v>
      </c>
      <c r="L270" t="b">
        <v>0</v>
      </c>
      <c r="M270" s="2">
        <v>46227.389108796298</v>
      </c>
      <c r="N270">
        <v>2026</v>
      </c>
    </row>
    <row r="271" spans="1:14" x14ac:dyDescent="0.25">
      <c r="A271" s="1" t="s">
        <v>782</v>
      </c>
      <c r="B271" s="1" t="s">
        <v>26</v>
      </c>
      <c r="C271" t="s">
        <v>26</v>
      </c>
      <c r="D271" s="1" t="s">
        <v>595</v>
      </c>
      <c r="E271" s="1" t="s">
        <v>781</v>
      </c>
      <c r="F271">
        <v>2017</v>
      </c>
      <c r="G271">
        <v>262000</v>
      </c>
      <c r="H271" t="s">
        <v>1159</v>
      </c>
      <c r="I271" t="s">
        <v>868</v>
      </c>
      <c r="J271">
        <v>52</v>
      </c>
      <c r="K271" t="s">
        <v>879</v>
      </c>
      <c r="L271" t="b">
        <v>0</v>
      </c>
      <c r="M271" s="2">
        <v>46227.389108796298</v>
      </c>
      <c r="N271">
        <v>2026</v>
      </c>
    </row>
    <row r="272" spans="1:14" x14ac:dyDescent="0.25">
      <c r="A272" s="1" t="s">
        <v>783</v>
      </c>
      <c r="B272" s="1" t="s">
        <v>26</v>
      </c>
      <c r="C272" t="s">
        <v>26</v>
      </c>
      <c r="D272" s="1" t="s">
        <v>595</v>
      </c>
      <c r="E272" s="1" t="s">
        <v>781</v>
      </c>
      <c r="F272">
        <v>2017</v>
      </c>
      <c r="G272">
        <v>255986</v>
      </c>
      <c r="H272" t="s">
        <v>1160</v>
      </c>
      <c r="I272" t="s">
        <v>868</v>
      </c>
      <c r="J272">
        <v>41</v>
      </c>
      <c r="K272" t="s">
        <v>879</v>
      </c>
      <c r="L272" t="b">
        <v>0</v>
      </c>
      <c r="M272" s="2">
        <v>46227.389108796298</v>
      </c>
      <c r="N272">
        <v>2026</v>
      </c>
    </row>
    <row r="273" spans="1:14" x14ac:dyDescent="0.25">
      <c r="A273" s="1" t="s">
        <v>784</v>
      </c>
      <c r="B273" s="1" t="s">
        <v>26</v>
      </c>
      <c r="C273" t="s">
        <v>26</v>
      </c>
      <c r="D273" s="1" t="s">
        <v>595</v>
      </c>
      <c r="E273" s="1" t="s">
        <v>781</v>
      </c>
      <c r="F273">
        <v>2017</v>
      </c>
      <c r="G273">
        <v>249760</v>
      </c>
      <c r="H273" t="s">
        <v>1161</v>
      </c>
      <c r="I273" t="s">
        <v>868</v>
      </c>
      <c r="J273">
        <v>36</v>
      </c>
      <c r="K273" t="s">
        <v>877</v>
      </c>
      <c r="L273" t="b">
        <v>0</v>
      </c>
      <c r="M273" s="2">
        <v>46227.389108796298</v>
      </c>
      <c r="N273">
        <v>2026</v>
      </c>
    </row>
    <row r="274" spans="1:14" x14ac:dyDescent="0.25">
      <c r="A274" s="1" t="s">
        <v>792</v>
      </c>
      <c r="B274" s="1" t="s">
        <v>26</v>
      </c>
      <c r="C274" t="s">
        <v>26</v>
      </c>
      <c r="D274" s="1" t="s">
        <v>792</v>
      </c>
      <c r="E274" s="1" t="s">
        <v>793</v>
      </c>
      <c r="F274">
        <v>2025</v>
      </c>
      <c r="G274">
        <v>242291</v>
      </c>
      <c r="H274" t="s">
        <v>1162</v>
      </c>
      <c r="I274" t="s">
        <v>868</v>
      </c>
      <c r="J274">
        <v>49</v>
      </c>
      <c r="K274" t="s">
        <v>879</v>
      </c>
      <c r="L274" t="b">
        <v>0</v>
      </c>
      <c r="M274" s="2">
        <v>46227.389108796298</v>
      </c>
      <c r="N274">
        <v>2026</v>
      </c>
    </row>
    <row r="275" spans="1:14" x14ac:dyDescent="0.25">
      <c r="A275" s="1" t="s">
        <v>798</v>
      </c>
      <c r="B275" s="1" t="s">
        <v>26</v>
      </c>
      <c r="C275" t="s">
        <v>26</v>
      </c>
      <c r="D275" s="1" t="s">
        <v>799</v>
      </c>
      <c r="E275" s="1" t="s">
        <v>800</v>
      </c>
      <c r="F275">
        <v>2025</v>
      </c>
      <c r="G275">
        <v>191496</v>
      </c>
      <c r="H275" t="s">
        <v>1163</v>
      </c>
      <c r="I275" t="s">
        <v>870</v>
      </c>
      <c r="J275">
        <v>55</v>
      </c>
      <c r="K275" t="s">
        <v>879</v>
      </c>
      <c r="L275" t="b">
        <v>0</v>
      </c>
      <c r="M275" s="2">
        <v>46227.389108796298</v>
      </c>
      <c r="N275">
        <v>2026</v>
      </c>
    </row>
    <row r="276" spans="1:14" x14ac:dyDescent="0.25">
      <c r="A276" s="1" t="s">
        <v>801</v>
      </c>
      <c r="B276" s="1" t="s">
        <v>26</v>
      </c>
      <c r="C276" t="s">
        <v>26</v>
      </c>
      <c r="D276" s="1" t="s">
        <v>799</v>
      </c>
      <c r="E276" s="1" t="s">
        <v>800</v>
      </c>
      <c r="F276">
        <v>2025</v>
      </c>
      <c r="G276">
        <v>200464</v>
      </c>
      <c r="H276" t="s">
        <v>1164</v>
      </c>
      <c r="I276" t="s">
        <v>870</v>
      </c>
      <c r="J276">
        <v>60</v>
      </c>
      <c r="K276" t="s">
        <v>879</v>
      </c>
      <c r="L276" t="b">
        <v>0</v>
      </c>
      <c r="M276" s="2">
        <v>46227.389108796298</v>
      </c>
      <c r="N276">
        <v>2026</v>
      </c>
    </row>
    <row r="277" spans="1:14" x14ac:dyDescent="0.25">
      <c r="A277" s="1" t="s">
        <v>804</v>
      </c>
      <c r="B277" s="1" t="s">
        <v>26</v>
      </c>
      <c r="C277" t="s">
        <v>26</v>
      </c>
      <c r="D277" s="1" t="s">
        <v>799</v>
      </c>
      <c r="E277" s="1" t="s">
        <v>800</v>
      </c>
      <c r="F277">
        <v>2025</v>
      </c>
      <c r="G277">
        <v>158476</v>
      </c>
      <c r="H277" t="s">
        <v>1165</v>
      </c>
      <c r="I277" t="s">
        <v>869</v>
      </c>
      <c r="J277">
        <v>51</v>
      </c>
      <c r="K277" t="s">
        <v>879</v>
      </c>
      <c r="L277" t="b">
        <v>0</v>
      </c>
      <c r="M277" s="2">
        <v>46227.389108796298</v>
      </c>
      <c r="N277">
        <v>2026</v>
      </c>
    </row>
    <row r="278" spans="1:14" x14ac:dyDescent="0.25">
      <c r="A278" s="1" t="s">
        <v>805</v>
      </c>
      <c r="B278" s="1" t="s">
        <v>26</v>
      </c>
      <c r="C278" t="s">
        <v>26</v>
      </c>
      <c r="D278" s="1" t="s">
        <v>799</v>
      </c>
      <c r="E278" s="1" t="s">
        <v>800</v>
      </c>
      <c r="F278">
        <v>2025</v>
      </c>
      <c r="G278">
        <v>157407</v>
      </c>
      <c r="H278" t="s">
        <v>1166</v>
      </c>
      <c r="I278" t="s">
        <v>869</v>
      </c>
      <c r="J278">
        <v>46</v>
      </c>
      <c r="K278" t="s">
        <v>879</v>
      </c>
      <c r="L278" t="b">
        <v>0</v>
      </c>
      <c r="M278" s="2">
        <v>46227.389108796298</v>
      </c>
      <c r="N278">
        <v>2026</v>
      </c>
    </row>
    <row r="279" spans="1:14" x14ac:dyDescent="0.25">
      <c r="A279" s="1" t="s">
        <v>806</v>
      </c>
      <c r="B279" s="1" t="s">
        <v>26</v>
      </c>
      <c r="C279" t="s">
        <v>26</v>
      </c>
      <c r="D279" s="1" t="s">
        <v>799</v>
      </c>
      <c r="E279" s="1" t="s">
        <v>800</v>
      </c>
      <c r="F279">
        <v>2025</v>
      </c>
      <c r="G279">
        <v>135914</v>
      </c>
      <c r="H279" t="s">
        <v>1167</v>
      </c>
      <c r="I279" t="s">
        <v>869</v>
      </c>
      <c r="J279">
        <v>48</v>
      </c>
      <c r="K279" t="s">
        <v>879</v>
      </c>
      <c r="L279" t="b">
        <v>0</v>
      </c>
      <c r="M279" s="2">
        <v>46227.389108796298</v>
      </c>
      <c r="N279">
        <v>2026</v>
      </c>
    </row>
    <row r="280" spans="1:14" x14ac:dyDescent="0.25">
      <c r="A280" s="1" t="s">
        <v>807</v>
      </c>
      <c r="B280" s="1" t="s">
        <v>26</v>
      </c>
      <c r="C280" t="s">
        <v>26</v>
      </c>
      <c r="D280" s="1" t="s">
        <v>799</v>
      </c>
      <c r="E280" s="1" t="s">
        <v>800</v>
      </c>
      <c r="F280">
        <v>2025</v>
      </c>
      <c r="G280">
        <v>124485</v>
      </c>
      <c r="H280" t="s">
        <v>1168</v>
      </c>
      <c r="I280" t="s">
        <v>869</v>
      </c>
      <c r="J280">
        <v>50</v>
      </c>
      <c r="K280" t="s">
        <v>879</v>
      </c>
      <c r="L280" t="b">
        <v>0</v>
      </c>
      <c r="M280" s="2">
        <v>46227.389108796298</v>
      </c>
      <c r="N280">
        <v>2026</v>
      </c>
    </row>
    <row r="281" spans="1:14" x14ac:dyDescent="0.25">
      <c r="A281" s="1" t="s">
        <v>808</v>
      </c>
      <c r="B281" s="1" t="s">
        <v>26</v>
      </c>
      <c r="C281" t="s">
        <v>26</v>
      </c>
      <c r="D281" s="1" t="s">
        <v>799</v>
      </c>
      <c r="E281" s="1" t="s">
        <v>800</v>
      </c>
      <c r="F281">
        <v>2025</v>
      </c>
      <c r="G281">
        <v>234848</v>
      </c>
      <c r="H281" t="s">
        <v>1169</v>
      </c>
      <c r="I281" t="s">
        <v>870</v>
      </c>
      <c r="J281">
        <v>43</v>
      </c>
      <c r="K281" t="s">
        <v>879</v>
      </c>
      <c r="L281" t="b">
        <v>0</v>
      </c>
      <c r="M281" s="2">
        <v>46227.389108796298</v>
      </c>
      <c r="N281">
        <v>2026</v>
      </c>
    </row>
    <row r="282" spans="1:14" x14ac:dyDescent="0.25">
      <c r="A282" s="1" t="s">
        <v>809</v>
      </c>
      <c r="B282" s="1" t="s">
        <v>26</v>
      </c>
      <c r="C282" t="s">
        <v>26</v>
      </c>
      <c r="D282" s="1" t="s">
        <v>799</v>
      </c>
      <c r="E282" s="1" t="s">
        <v>800</v>
      </c>
      <c r="F282">
        <v>2025</v>
      </c>
      <c r="G282">
        <v>216976</v>
      </c>
      <c r="H282" t="s">
        <v>1170</v>
      </c>
      <c r="I282" t="s">
        <v>870</v>
      </c>
      <c r="J282">
        <v>49</v>
      </c>
      <c r="K282" t="s">
        <v>879</v>
      </c>
      <c r="L282" t="b">
        <v>0</v>
      </c>
      <c r="M282" s="2">
        <v>46227.389108796298</v>
      </c>
      <c r="N282">
        <v>2026</v>
      </c>
    </row>
    <row r="283" spans="1:14" x14ac:dyDescent="0.25">
      <c r="A283" s="1" t="s">
        <v>824</v>
      </c>
      <c r="B283" s="1" t="s">
        <v>26</v>
      </c>
      <c r="C283" t="s">
        <v>26</v>
      </c>
      <c r="D283" s="1" t="s">
        <v>533</v>
      </c>
      <c r="E283" s="1" t="s">
        <v>534</v>
      </c>
      <c r="F283">
        <v>2015</v>
      </c>
      <c r="G283">
        <v>276228</v>
      </c>
      <c r="H283" t="s">
        <v>1171</v>
      </c>
      <c r="I283" t="s">
        <v>868</v>
      </c>
      <c r="J283">
        <v>33</v>
      </c>
      <c r="K283" t="s">
        <v>877</v>
      </c>
      <c r="L283" t="b">
        <v>0</v>
      </c>
      <c r="M283" s="2">
        <v>46227.389108796298</v>
      </c>
      <c r="N283">
        <v>2026</v>
      </c>
    </row>
    <row r="284" spans="1:14" x14ac:dyDescent="0.25">
      <c r="A284" s="1" t="s">
        <v>829</v>
      </c>
      <c r="B284" s="1" t="s">
        <v>26</v>
      </c>
      <c r="C284" t="s">
        <v>26</v>
      </c>
      <c r="D284" s="1" t="s">
        <v>829</v>
      </c>
      <c r="E284" s="1" t="s">
        <v>433</v>
      </c>
      <c r="F284">
        <v>2026</v>
      </c>
      <c r="G284">
        <v>181914</v>
      </c>
      <c r="H284" t="s">
        <v>1172</v>
      </c>
      <c r="I284" t="s">
        <v>870</v>
      </c>
      <c r="J284">
        <v>64</v>
      </c>
      <c r="K284" t="s">
        <v>876</v>
      </c>
      <c r="L284" t="b">
        <v>0</v>
      </c>
      <c r="M284" s="2">
        <v>46227.389108796298</v>
      </c>
      <c r="N284">
        <v>2026</v>
      </c>
    </row>
    <row r="285" spans="1:14" x14ac:dyDescent="0.25">
      <c r="A285" s="1" t="s">
        <v>844</v>
      </c>
      <c r="B285" s="1" t="s">
        <v>26</v>
      </c>
      <c r="C285" t="s">
        <v>26</v>
      </c>
      <c r="D285" s="1" t="s">
        <v>844</v>
      </c>
      <c r="E285" s="1" t="s">
        <v>845</v>
      </c>
      <c r="F285">
        <v>2026</v>
      </c>
      <c r="G285">
        <v>154088</v>
      </c>
      <c r="H285" t="s">
        <v>1173</v>
      </c>
      <c r="I285" t="s">
        <v>869</v>
      </c>
      <c r="J285">
        <v>64</v>
      </c>
      <c r="K285" t="s">
        <v>876</v>
      </c>
      <c r="L285" t="b">
        <v>0</v>
      </c>
      <c r="M285" s="2">
        <v>46227.389108796298</v>
      </c>
      <c r="N285">
        <v>2026</v>
      </c>
    </row>
    <row r="286" spans="1:14" x14ac:dyDescent="0.25">
      <c r="A286" s="1" t="s">
        <v>537</v>
      </c>
      <c r="B286" s="1" t="s">
        <v>538</v>
      </c>
      <c r="C286" t="s">
        <v>432</v>
      </c>
      <c r="D286" s="1" t="s">
        <v>537</v>
      </c>
      <c r="E286" s="1" t="s">
        <v>539</v>
      </c>
      <c r="F286">
        <v>2021</v>
      </c>
      <c r="G286">
        <v>227312</v>
      </c>
      <c r="H286" t="s">
        <v>1174</v>
      </c>
      <c r="I286" t="s">
        <v>870</v>
      </c>
      <c r="J286">
        <v>49</v>
      </c>
      <c r="K286" t="s">
        <v>879</v>
      </c>
      <c r="L286" t="b">
        <v>0</v>
      </c>
      <c r="M286" s="2">
        <v>46227.389108796298</v>
      </c>
      <c r="N286">
        <v>2026</v>
      </c>
    </row>
    <row r="287" spans="1:14" x14ac:dyDescent="0.25">
      <c r="A287" s="1" t="s">
        <v>540</v>
      </c>
      <c r="B287" s="1" t="s">
        <v>541</v>
      </c>
      <c r="C287" t="s">
        <v>432</v>
      </c>
      <c r="D287" s="1" t="s">
        <v>542</v>
      </c>
      <c r="E287" s="1" t="s">
        <v>292</v>
      </c>
      <c r="F287">
        <v>2021</v>
      </c>
      <c r="G287">
        <v>245120</v>
      </c>
      <c r="H287" t="s">
        <v>1175</v>
      </c>
      <c r="I287" t="s">
        <v>868</v>
      </c>
      <c r="J287">
        <v>59</v>
      </c>
      <c r="K287" t="s">
        <v>879</v>
      </c>
      <c r="L287" t="b">
        <v>0</v>
      </c>
      <c r="M287" s="2">
        <v>46227.389108796298</v>
      </c>
      <c r="N287">
        <v>2026</v>
      </c>
    </row>
    <row r="288" spans="1:14" x14ac:dyDescent="0.25">
      <c r="A288" s="1" t="s">
        <v>548</v>
      </c>
      <c r="B288" s="1" t="s">
        <v>549</v>
      </c>
      <c r="C288" t="s">
        <v>887</v>
      </c>
      <c r="D288" s="1" t="s">
        <v>550</v>
      </c>
      <c r="E288" s="1" t="s">
        <v>551</v>
      </c>
      <c r="F288">
        <v>2018</v>
      </c>
      <c r="G288">
        <v>244614</v>
      </c>
      <c r="H288" t="s">
        <v>1176</v>
      </c>
      <c r="I288" t="s">
        <v>868</v>
      </c>
      <c r="J288">
        <v>41</v>
      </c>
      <c r="K288" t="s">
        <v>879</v>
      </c>
      <c r="L288" t="b">
        <v>0</v>
      </c>
      <c r="M288" s="2">
        <v>46227.389108796298</v>
      </c>
      <c r="N288">
        <v>2026</v>
      </c>
    </row>
    <row r="289" spans="1:14" x14ac:dyDescent="0.25">
      <c r="A289" s="1" t="s">
        <v>558</v>
      </c>
      <c r="B289" s="1" t="s">
        <v>559</v>
      </c>
      <c r="C289" t="s">
        <v>432</v>
      </c>
      <c r="D289" s="1" t="s">
        <v>442</v>
      </c>
      <c r="E289" s="1" t="s">
        <v>443</v>
      </c>
      <c r="F289">
        <v>2018</v>
      </c>
      <c r="G289">
        <v>219373</v>
      </c>
      <c r="H289" t="s">
        <v>1177</v>
      </c>
      <c r="I289" t="s">
        <v>870</v>
      </c>
      <c r="J289">
        <v>63</v>
      </c>
      <c r="K289" t="s">
        <v>876</v>
      </c>
      <c r="L289" t="b">
        <v>0</v>
      </c>
      <c r="M289" s="2">
        <v>46227.389108796298</v>
      </c>
      <c r="N289">
        <v>2026</v>
      </c>
    </row>
    <row r="290" spans="1:14" x14ac:dyDescent="0.25">
      <c r="A290" s="1" t="s">
        <v>589</v>
      </c>
      <c r="B290" s="1" t="s">
        <v>590</v>
      </c>
      <c r="C290" t="s">
        <v>432</v>
      </c>
      <c r="D290" s="1" t="s">
        <v>442</v>
      </c>
      <c r="E290" s="1" t="s">
        <v>443</v>
      </c>
      <c r="F290">
        <v>2018</v>
      </c>
      <c r="G290">
        <v>218533</v>
      </c>
      <c r="H290" t="s">
        <v>1178</v>
      </c>
      <c r="I290" t="s">
        <v>870</v>
      </c>
      <c r="J290">
        <v>54</v>
      </c>
      <c r="K290" t="s">
        <v>879</v>
      </c>
      <c r="L290" t="b">
        <v>0</v>
      </c>
      <c r="M290" s="2">
        <v>46227.389108796298</v>
      </c>
      <c r="N290">
        <v>2026</v>
      </c>
    </row>
    <row r="291" spans="1:14" x14ac:dyDescent="0.25">
      <c r="A291" s="1" t="s">
        <v>631</v>
      </c>
      <c r="B291" s="1" t="s">
        <v>632</v>
      </c>
      <c r="C291" t="s">
        <v>26</v>
      </c>
      <c r="D291" s="1" t="s">
        <v>389</v>
      </c>
      <c r="E291" s="1" t="s">
        <v>390</v>
      </c>
      <c r="F291">
        <v>2022</v>
      </c>
      <c r="G291">
        <v>216586</v>
      </c>
      <c r="H291" t="s">
        <v>1179</v>
      </c>
      <c r="I291" t="s">
        <v>870</v>
      </c>
      <c r="J291">
        <v>51</v>
      </c>
      <c r="K291" t="s">
        <v>879</v>
      </c>
      <c r="L291" t="b">
        <v>0</v>
      </c>
      <c r="M291" s="2">
        <v>46227.389108796298</v>
      </c>
      <c r="N291">
        <v>2026</v>
      </c>
    </row>
    <row r="292" spans="1:14" x14ac:dyDescent="0.25">
      <c r="A292" s="1" t="s">
        <v>663</v>
      </c>
      <c r="B292" s="1" t="s">
        <v>664</v>
      </c>
      <c r="C292" t="s">
        <v>316</v>
      </c>
      <c r="D292" s="1" t="s">
        <v>663</v>
      </c>
      <c r="E292" s="1" t="s">
        <v>665</v>
      </c>
      <c r="F292">
        <v>2023</v>
      </c>
      <c r="G292">
        <v>182106</v>
      </c>
      <c r="H292" t="s">
        <v>1180</v>
      </c>
      <c r="I292" t="s">
        <v>870</v>
      </c>
      <c r="J292">
        <v>57</v>
      </c>
      <c r="K292" t="s">
        <v>879</v>
      </c>
      <c r="L292" t="b">
        <v>1</v>
      </c>
      <c r="M292" s="2">
        <v>46227.389108796298</v>
      </c>
      <c r="N292">
        <v>2026</v>
      </c>
    </row>
    <row r="293" spans="1:14" x14ac:dyDescent="0.25">
      <c r="A293" s="1" t="s">
        <v>680</v>
      </c>
      <c r="B293" s="1" t="s">
        <v>681</v>
      </c>
      <c r="C293" t="s">
        <v>432</v>
      </c>
      <c r="D293" s="1" t="s">
        <v>680</v>
      </c>
      <c r="E293" s="1" t="s">
        <v>682</v>
      </c>
      <c r="F293">
        <v>2019</v>
      </c>
      <c r="G293">
        <v>170739</v>
      </c>
      <c r="H293" t="s">
        <v>1181</v>
      </c>
      <c r="I293" t="s">
        <v>869</v>
      </c>
      <c r="J293">
        <v>39</v>
      </c>
      <c r="K293" t="s">
        <v>877</v>
      </c>
      <c r="L293" t="b">
        <v>0</v>
      </c>
      <c r="M293" s="2">
        <v>46227.389108796298</v>
      </c>
      <c r="N293">
        <v>2026</v>
      </c>
    </row>
    <row r="294" spans="1:14" x14ac:dyDescent="0.25">
      <c r="A294" s="1" t="s">
        <v>685</v>
      </c>
      <c r="B294" s="1" t="s">
        <v>686</v>
      </c>
      <c r="C294" t="s">
        <v>57</v>
      </c>
      <c r="D294" s="1" t="s">
        <v>687</v>
      </c>
      <c r="E294" s="1" t="s">
        <v>688</v>
      </c>
      <c r="F294">
        <v>2021</v>
      </c>
      <c r="G294">
        <v>235065</v>
      </c>
      <c r="H294" t="s">
        <v>1182</v>
      </c>
      <c r="I294" t="s">
        <v>870</v>
      </c>
      <c r="J294">
        <v>0</v>
      </c>
      <c r="K294" t="s">
        <v>878</v>
      </c>
      <c r="L294" t="b">
        <v>0</v>
      </c>
      <c r="M294" s="2">
        <v>46227.389108796298</v>
      </c>
      <c r="N294">
        <v>2026</v>
      </c>
    </row>
    <row r="295" spans="1:14" x14ac:dyDescent="0.25">
      <c r="A295" s="1" t="s">
        <v>689</v>
      </c>
      <c r="B295" s="1" t="s">
        <v>690</v>
      </c>
      <c r="C295" t="s">
        <v>432</v>
      </c>
      <c r="D295" s="1" t="s">
        <v>689</v>
      </c>
      <c r="E295" s="1" t="s">
        <v>691</v>
      </c>
      <c r="F295">
        <v>2023</v>
      </c>
      <c r="G295">
        <v>214914</v>
      </c>
      <c r="H295" t="s">
        <v>1183</v>
      </c>
      <c r="I295" t="s">
        <v>870</v>
      </c>
      <c r="J295">
        <v>54</v>
      </c>
      <c r="K295" t="s">
        <v>879</v>
      </c>
      <c r="L295" t="b">
        <v>0</v>
      </c>
      <c r="M295" s="2">
        <v>46227.389108796298</v>
      </c>
      <c r="N295">
        <v>2026</v>
      </c>
    </row>
    <row r="296" spans="1:14" x14ac:dyDescent="0.25">
      <c r="A296" s="1" t="s">
        <v>698</v>
      </c>
      <c r="B296" s="1" t="s">
        <v>699</v>
      </c>
      <c r="C296" t="s">
        <v>432</v>
      </c>
      <c r="D296" s="1" t="s">
        <v>700</v>
      </c>
      <c r="E296" s="1" t="s">
        <v>701</v>
      </c>
      <c r="F296">
        <v>2023</v>
      </c>
      <c r="G296">
        <v>209265</v>
      </c>
      <c r="H296" t="s">
        <v>1184</v>
      </c>
      <c r="I296" t="s">
        <v>870</v>
      </c>
      <c r="J296">
        <v>47</v>
      </c>
      <c r="K296" t="s">
        <v>879</v>
      </c>
      <c r="L296" t="b">
        <v>0</v>
      </c>
      <c r="M296" s="2">
        <v>46227.389108796298</v>
      </c>
      <c r="N296">
        <v>2026</v>
      </c>
    </row>
    <row r="297" spans="1:14" x14ac:dyDescent="0.25">
      <c r="A297" s="1" t="s">
        <v>706</v>
      </c>
      <c r="B297" s="1" t="s">
        <v>707</v>
      </c>
      <c r="C297" t="s">
        <v>432</v>
      </c>
      <c r="D297" s="1" t="s">
        <v>700</v>
      </c>
      <c r="E297" s="1" t="s">
        <v>701</v>
      </c>
      <c r="F297">
        <v>2023</v>
      </c>
      <c r="G297">
        <v>188345</v>
      </c>
      <c r="H297" t="s">
        <v>1185</v>
      </c>
      <c r="I297" t="s">
        <v>870</v>
      </c>
      <c r="J297">
        <v>46</v>
      </c>
      <c r="K297" t="s">
        <v>879</v>
      </c>
      <c r="L297" t="b">
        <v>0</v>
      </c>
      <c r="M297" s="2">
        <v>46227.389108796298</v>
      </c>
      <c r="N297">
        <v>2026</v>
      </c>
    </row>
    <row r="298" spans="1:14" x14ac:dyDescent="0.25">
      <c r="A298" s="1" t="s">
        <v>708</v>
      </c>
      <c r="B298" s="1" t="s">
        <v>709</v>
      </c>
      <c r="C298" t="s">
        <v>432</v>
      </c>
      <c r="D298" s="1" t="s">
        <v>700</v>
      </c>
      <c r="E298" s="1" t="s">
        <v>701</v>
      </c>
      <c r="F298">
        <v>2023</v>
      </c>
      <c r="G298">
        <v>217032</v>
      </c>
      <c r="H298" t="s">
        <v>1186</v>
      </c>
      <c r="I298" t="s">
        <v>870</v>
      </c>
      <c r="J298">
        <v>48</v>
      </c>
      <c r="K298" t="s">
        <v>879</v>
      </c>
      <c r="L298" t="b">
        <v>0</v>
      </c>
      <c r="M298" s="2">
        <v>46227.389108796298</v>
      </c>
      <c r="N298">
        <v>2026</v>
      </c>
    </row>
    <row r="299" spans="1:14" x14ac:dyDescent="0.25">
      <c r="A299" s="1" t="s">
        <v>710</v>
      </c>
      <c r="B299" s="1" t="s">
        <v>711</v>
      </c>
      <c r="C299" t="s">
        <v>432</v>
      </c>
      <c r="D299" s="1" t="s">
        <v>700</v>
      </c>
      <c r="E299" s="1" t="s">
        <v>701</v>
      </c>
      <c r="F299">
        <v>2023</v>
      </c>
      <c r="G299">
        <v>174416</v>
      </c>
      <c r="H299" t="s">
        <v>1187</v>
      </c>
      <c r="I299" t="s">
        <v>869</v>
      </c>
      <c r="J299">
        <v>49</v>
      </c>
      <c r="K299" t="s">
        <v>879</v>
      </c>
      <c r="L299" t="b">
        <v>0</v>
      </c>
      <c r="M299" s="2">
        <v>46227.389108796298</v>
      </c>
      <c r="N299">
        <v>2026</v>
      </c>
    </row>
    <row r="300" spans="1:14" x14ac:dyDescent="0.25">
      <c r="A300" s="1" t="s">
        <v>712</v>
      </c>
      <c r="B300" s="1" t="s">
        <v>713</v>
      </c>
      <c r="C300" t="s">
        <v>432</v>
      </c>
      <c r="D300" s="1" t="s">
        <v>700</v>
      </c>
      <c r="E300" s="1" t="s">
        <v>701</v>
      </c>
      <c r="F300">
        <v>2023</v>
      </c>
      <c r="G300">
        <v>199847</v>
      </c>
      <c r="H300" t="s">
        <v>1188</v>
      </c>
      <c r="I300" t="s">
        <v>870</v>
      </c>
      <c r="J300">
        <v>39</v>
      </c>
      <c r="K300" t="s">
        <v>877</v>
      </c>
      <c r="L300" t="b">
        <v>0</v>
      </c>
      <c r="M300" s="2">
        <v>46227.389108796298</v>
      </c>
      <c r="N300">
        <v>2026</v>
      </c>
    </row>
    <row r="301" spans="1:14" x14ac:dyDescent="0.25">
      <c r="A301" s="1" t="s">
        <v>745</v>
      </c>
      <c r="B301" s="1" t="s">
        <v>746</v>
      </c>
      <c r="C301" t="s">
        <v>316</v>
      </c>
      <c r="D301" s="1" t="s">
        <v>745</v>
      </c>
      <c r="E301" s="1" t="s">
        <v>747</v>
      </c>
      <c r="F301">
        <v>2025</v>
      </c>
      <c r="G301">
        <v>153709</v>
      </c>
      <c r="H301" t="s">
        <v>1189</v>
      </c>
      <c r="I301" t="s">
        <v>869</v>
      </c>
      <c r="J301">
        <v>65</v>
      </c>
      <c r="K301" t="s">
        <v>876</v>
      </c>
      <c r="L301" t="b">
        <v>0</v>
      </c>
      <c r="M301" s="2">
        <v>46227.389108796298</v>
      </c>
      <c r="N301">
        <v>2026</v>
      </c>
    </row>
    <row r="302" spans="1:14" x14ac:dyDescent="0.25">
      <c r="A302" s="1" t="s">
        <v>759</v>
      </c>
      <c r="B302" s="1" t="s">
        <v>760</v>
      </c>
      <c r="C302" t="s">
        <v>316</v>
      </c>
      <c r="D302" s="1" t="s">
        <v>759</v>
      </c>
      <c r="E302" s="1" t="s">
        <v>761</v>
      </c>
      <c r="F302">
        <v>2025</v>
      </c>
      <c r="G302">
        <v>194292</v>
      </c>
      <c r="H302" t="s">
        <v>1190</v>
      </c>
      <c r="I302" t="s">
        <v>870</v>
      </c>
      <c r="J302">
        <v>58</v>
      </c>
      <c r="K302" t="s">
        <v>879</v>
      </c>
      <c r="L302" t="b">
        <v>0</v>
      </c>
      <c r="M302" s="2">
        <v>46227.389108796298</v>
      </c>
      <c r="N302">
        <v>2026</v>
      </c>
    </row>
    <row r="303" spans="1:14" x14ac:dyDescent="0.25">
      <c r="A303" s="1" t="s">
        <v>789</v>
      </c>
      <c r="B303" s="1" t="s">
        <v>790</v>
      </c>
      <c r="C303" t="s">
        <v>26</v>
      </c>
      <c r="D303" s="1" t="s">
        <v>789</v>
      </c>
      <c r="E303" s="1" t="s">
        <v>791</v>
      </c>
      <c r="F303">
        <v>2025</v>
      </c>
      <c r="G303">
        <v>152163</v>
      </c>
      <c r="H303" t="s">
        <v>1191</v>
      </c>
      <c r="I303" t="s">
        <v>869</v>
      </c>
      <c r="J303">
        <v>55</v>
      </c>
      <c r="K303" t="s">
        <v>879</v>
      </c>
      <c r="L303" t="b">
        <v>0</v>
      </c>
      <c r="M303" s="2">
        <v>46227.389108796298</v>
      </c>
      <c r="N303">
        <v>2026</v>
      </c>
    </row>
    <row r="304" spans="1:14" x14ac:dyDescent="0.25">
      <c r="A304" s="1" t="s">
        <v>794</v>
      </c>
      <c r="B304" s="1" t="s">
        <v>795</v>
      </c>
      <c r="C304" t="s">
        <v>26</v>
      </c>
      <c r="D304" s="1" t="s">
        <v>796</v>
      </c>
      <c r="E304" s="1" t="s">
        <v>797</v>
      </c>
      <c r="F304">
        <v>2025</v>
      </c>
      <c r="G304">
        <v>192038</v>
      </c>
      <c r="H304" t="s">
        <v>1192</v>
      </c>
      <c r="I304" t="s">
        <v>870</v>
      </c>
      <c r="J304">
        <v>42</v>
      </c>
      <c r="K304" t="s">
        <v>879</v>
      </c>
      <c r="L304" t="b">
        <v>0</v>
      </c>
      <c r="M304" s="2">
        <v>46227.389108796298</v>
      </c>
      <c r="N304">
        <v>2026</v>
      </c>
    </row>
    <row r="305" spans="1:14" x14ac:dyDescent="0.25">
      <c r="A305" s="1" t="s">
        <v>802</v>
      </c>
      <c r="B305" s="1" t="s">
        <v>803</v>
      </c>
      <c r="C305" t="s">
        <v>26</v>
      </c>
      <c r="D305" s="1" t="s">
        <v>799</v>
      </c>
      <c r="E305" s="1" t="s">
        <v>800</v>
      </c>
      <c r="F305">
        <v>2025</v>
      </c>
      <c r="G305">
        <v>549177</v>
      </c>
      <c r="H305" t="s">
        <v>1193</v>
      </c>
      <c r="I305" t="s">
        <v>871</v>
      </c>
      <c r="J305">
        <v>49</v>
      </c>
      <c r="K305" t="s">
        <v>879</v>
      </c>
      <c r="L305" t="b">
        <v>0</v>
      </c>
      <c r="M305" s="2">
        <v>46227.389108796298</v>
      </c>
      <c r="N305">
        <v>2026</v>
      </c>
    </row>
    <row r="306" spans="1:14" x14ac:dyDescent="0.25">
      <c r="A306" s="1" t="s">
        <v>794</v>
      </c>
      <c r="B306" s="1" t="s">
        <v>795</v>
      </c>
      <c r="C306" t="s">
        <v>26</v>
      </c>
      <c r="D306" s="1" t="s">
        <v>799</v>
      </c>
      <c r="E306" s="1" t="s">
        <v>800</v>
      </c>
      <c r="F306">
        <v>2025</v>
      </c>
      <c r="G306">
        <v>192038</v>
      </c>
      <c r="H306" t="s">
        <v>1192</v>
      </c>
      <c r="I306" t="s">
        <v>870</v>
      </c>
      <c r="J306">
        <v>44</v>
      </c>
      <c r="K306" t="s">
        <v>879</v>
      </c>
      <c r="L306" t="b">
        <v>0</v>
      </c>
      <c r="M306" s="2">
        <v>46227.389108796298</v>
      </c>
      <c r="N306">
        <v>2026</v>
      </c>
    </row>
    <row r="307" spans="1:14" x14ac:dyDescent="0.25">
      <c r="A307" s="1" t="s">
        <v>810</v>
      </c>
      <c r="B307" s="1" t="s">
        <v>811</v>
      </c>
      <c r="C307" t="s">
        <v>888</v>
      </c>
      <c r="D307" s="1" t="s">
        <v>810</v>
      </c>
      <c r="E307" s="1" t="s">
        <v>800</v>
      </c>
      <c r="F307">
        <v>2025</v>
      </c>
      <c r="G307">
        <v>240882</v>
      </c>
      <c r="H307" t="s">
        <v>1194</v>
      </c>
      <c r="I307" t="s">
        <v>868</v>
      </c>
      <c r="J307">
        <v>48</v>
      </c>
      <c r="K307" t="s">
        <v>879</v>
      </c>
      <c r="L307" t="b">
        <v>0</v>
      </c>
      <c r="M307" s="2">
        <v>46227.389108796298</v>
      </c>
      <c r="N307">
        <v>2026</v>
      </c>
    </row>
    <row r="308" spans="1:14" x14ac:dyDescent="0.25">
      <c r="A308" s="1" t="s">
        <v>819</v>
      </c>
      <c r="B308" s="1" t="s">
        <v>820</v>
      </c>
      <c r="C308" t="s">
        <v>316</v>
      </c>
      <c r="D308" s="1" t="s">
        <v>732</v>
      </c>
      <c r="E308" s="1" t="s">
        <v>733</v>
      </c>
      <c r="F308">
        <v>2009</v>
      </c>
      <c r="G308">
        <v>270626</v>
      </c>
      <c r="H308" t="s">
        <v>1195</v>
      </c>
      <c r="I308" t="s">
        <v>868</v>
      </c>
      <c r="J308">
        <v>57</v>
      </c>
      <c r="K308" t="s">
        <v>879</v>
      </c>
      <c r="L308" t="b">
        <v>0</v>
      </c>
      <c r="M308" s="2">
        <v>46227.389108796298</v>
      </c>
      <c r="N308">
        <v>2026</v>
      </c>
    </row>
    <row r="309" spans="1:14" x14ac:dyDescent="0.25">
      <c r="A309" s="1" t="s">
        <v>821</v>
      </c>
      <c r="B309" s="1" t="s">
        <v>822</v>
      </c>
      <c r="C309" t="s">
        <v>889</v>
      </c>
      <c r="D309" s="1" t="s">
        <v>821</v>
      </c>
      <c r="E309" s="1" t="s">
        <v>823</v>
      </c>
      <c r="F309">
        <v>2025</v>
      </c>
      <c r="G309">
        <v>175748</v>
      </c>
      <c r="H309" t="s">
        <v>1196</v>
      </c>
      <c r="I309" t="s">
        <v>869</v>
      </c>
      <c r="J309">
        <v>60</v>
      </c>
      <c r="K309" t="s">
        <v>879</v>
      </c>
      <c r="L309" t="b">
        <v>0</v>
      </c>
      <c r="M309" s="2">
        <v>46227.389108796298</v>
      </c>
      <c r="N309">
        <v>2026</v>
      </c>
    </row>
    <row r="310" spans="1:14" x14ac:dyDescent="0.25">
      <c r="A310" s="1" t="s">
        <v>199</v>
      </c>
      <c r="B310" s="1" t="s">
        <v>832</v>
      </c>
      <c r="C310" t="s">
        <v>432</v>
      </c>
      <c r="D310" s="1" t="s">
        <v>199</v>
      </c>
      <c r="E310" s="1" t="s">
        <v>833</v>
      </c>
      <c r="F310">
        <v>2019</v>
      </c>
      <c r="G310">
        <v>208908</v>
      </c>
      <c r="H310" t="s">
        <v>1197</v>
      </c>
      <c r="I310" t="s">
        <v>870</v>
      </c>
      <c r="J310">
        <v>34</v>
      </c>
      <c r="K310" t="s">
        <v>877</v>
      </c>
      <c r="L310" t="b">
        <v>0</v>
      </c>
      <c r="M310" s="2">
        <v>46227.389108796298</v>
      </c>
      <c r="N310">
        <v>2026</v>
      </c>
    </row>
    <row r="311" spans="1:14" x14ac:dyDescent="0.25">
      <c r="A311" s="1" t="s">
        <v>25</v>
      </c>
      <c r="B311" s="1" t="s">
        <v>26</v>
      </c>
      <c r="C311" t="s">
        <v>26</v>
      </c>
      <c r="D311" s="1" t="s">
        <v>27</v>
      </c>
      <c r="E311" s="1" t="s">
        <v>28</v>
      </c>
      <c r="F311">
        <v>2018</v>
      </c>
      <c r="G311">
        <v>221946</v>
      </c>
      <c r="H311" t="s">
        <v>1198</v>
      </c>
      <c r="I311" t="s">
        <v>870</v>
      </c>
      <c r="J311">
        <v>24</v>
      </c>
      <c r="K311" t="s">
        <v>877</v>
      </c>
      <c r="L311" t="b">
        <v>0</v>
      </c>
      <c r="M311" s="2">
        <v>44834.414097222223</v>
      </c>
      <c r="N311">
        <v>2022</v>
      </c>
    </row>
    <row r="312" spans="1:14" x14ac:dyDescent="0.25">
      <c r="A312" s="1" t="s">
        <v>29</v>
      </c>
      <c r="B312" s="1" t="s">
        <v>26</v>
      </c>
      <c r="C312" t="s">
        <v>26</v>
      </c>
      <c r="D312" s="1" t="s">
        <v>30</v>
      </c>
      <c r="E312" s="1" t="s">
        <v>31</v>
      </c>
      <c r="F312">
        <v>2016</v>
      </c>
      <c r="G312">
        <v>292912</v>
      </c>
      <c r="H312" t="s">
        <v>1199</v>
      </c>
      <c r="I312" t="s">
        <v>868</v>
      </c>
      <c r="J312">
        <v>51</v>
      </c>
      <c r="K312" t="s">
        <v>879</v>
      </c>
      <c r="L312" t="b">
        <v>0</v>
      </c>
      <c r="M312" s="2">
        <v>44834.414097222223</v>
      </c>
      <c r="N312">
        <v>2022</v>
      </c>
    </row>
    <row r="313" spans="1:14" x14ac:dyDescent="0.25">
      <c r="A313" s="1" t="s">
        <v>32</v>
      </c>
      <c r="B313" s="1" t="s">
        <v>33</v>
      </c>
      <c r="C313" t="s">
        <v>33</v>
      </c>
      <c r="D313" s="1" t="s">
        <v>34</v>
      </c>
      <c r="E313" s="1" t="s">
        <v>35</v>
      </c>
      <c r="F313">
        <v>2004</v>
      </c>
      <c r="G313">
        <v>213573</v>
      </c>
      <c r="H313" t="s">
        <v>1200</v>
      </c>
      <c r="I313" t="s">
        <v>870</v>
      </c>
      <c r="J313">
        <v>68</v>
      </c>
      <c r="K313" t="s">
        <v>876</v>
      </c>
      <c r="L313" t="b">
        <v>0</v>
      </c>
      <c r="M313" s="2">
        <v>44834.414097222223</v>
      </c>
      <c r="N313">
        <v>2022</v>
      </c>
    </row>
    <row r="314" spans="1:14" x14ac:dyDescent="0.25">
      <c r="A314" s="1" t="s">
        <v>36</v>
      </c>
      <c r="B314" s="1" t="s">
        <v>26</v>
      </c>
      <c r="C314" t="s">
        <v>26</v>
      </c>
      <c r="D314" s="1" t="s">
        <v>27</v>
      </c>
      <c r="E314" s="1" t="s">
        <v>28</v>
      </c>
      <c r="F314">
        <v>2018</v>
      </c>
      <c r="G314">
        <v>309426</v>
      </c>
      <c r="H314" t="s">
        <v>1201</v>
      </c>
      <c r="I314" t="s">
        <v>871</v>
      </c>
      <c r="J314">
        <v>37</v>
      </c>
      <c r="K314" t="s">
        <v>877</v>
      </c>
      <c r="L314" t="b">
        <v>0</v>
      </c>
      <c r="M314" s="2">
        <v>44834.414097222223</v>
      </c>
      <c r="N314">
        <v>2022</v>
      </c>
    </row>
    <row r="315" spans="1:14" x14ac:dyDescent="0.25">
      <c r="A315" s="1" t="s">
        <v>37</v>
      </c>
      <c r="B315" s="1" t="s">
        <v>38</v>
      </c>
      <c r="C315" t="s">
        <v>38</v>
      </c>
      <c r="D315" s="1" t="s">
        <v>39</v>
      </c>
      <c r="E315" s="1" t="s">
        <v>40</v>
      </c>
      <c r="F315">
        <v>2015</v>
      </c>
      <c r="G315">
        <v>240653</v>
      </c>
      <c r="H315" t="s">
        <v>1202</v>
      </c>
      <c r="I315" t="s">
        <v>868</v>
      </c>
      <c r="J315">
        <v>45</v>
      </c>
      <c r="K315" t="s">
        <v>879</v>
      </c>
      <c r="L315" t="b">
        <v>0</v>
      </c>
      <c r="M315" s="2">
        <v>44834.414097222223</v>
      </c>
      <c r="N315">
        <v>2022</v>
      </c>
    </row>
    <row r="316" spans="1:14" x14ac:dyDescent="0.25">
      <c r="A316" s="1" t="s">
        <v>41</v>
      </c>
      <c r="B316" s="1" t="s">
        <v>26</v>
      </c>
      <c r="C316" t="s">
        <v>26</v>
      </c>
      <c r="D316" s="1" t="s">
        <v>27</v>
      </c>
      <c r="E316" s="1" t="s">
        <v>28</v>
      </c>
      <c r="F316">
        <v>2018</v>
      </c>
      <c r="G316">
        <v>255909</v>
      </c>
      <c r="H316" t="s">
        <v>1203</v>
      </c>
      <c r="I316" t="s">
        <v>868</v>
      </c>
      <c r="J316">
        <v>29</v>
      </c>
      <c r="K316" t="s">
        <v>877</v>
      </c>
      <c r="L316" t="b">
        <v>0</v>
      </c>
      <c r="M316" s="2">
        <v>44834.414097222223</v>
      </c>
      <c r="N316">
        <v>2022</v>
      </c>
    </row>
    <row r="317" spans="1:14" x14ac:dyDescent="0.25">
      <c r="A317" s="1" t="s">
        <v>42</v>
      </c>
      <c r="B317" s="1" t="s">
        <v>43</v>
      </c>
      <c r="C317" t="s">
        <v>47</v>
      </c>
      <c r="D317" s="1" t="s">
        <v>44</v>
      </c>
      <c r="E317" s="1" t="s">
        <v>45</v>
      </c>
      <c r="F317">
        <v>2002</v>
      </c>
      <c r="G317">
        <v>310866</v>
      </c>
      <c r="H317" t="s">
        <v>1204</v>
      </c>
      <c r="I317" t="s">
        <v>871</v>
      </c>
      <c r="J317">
        <v>66</v>
      </c>
      <c r="K317" t="s">
        <v>876</v>
      </c>
      <c r="L317" t="b">
        <v>0</v>
      </c>
      <c r="M317" s="2">
        <v>44834.414097222223</v>
      </c>
      <c r="N317">
        <v>2022</v>
      </c>
    </row>
    <row r="318" spans="1:14" x14ac:dyDescent="0.25">
      <c r="A318" s="1" t="s">
        <v>46</v>
      </c>
      <c r="B318" s="1" t="s">
        <v>47</v>
      </c>
      <c r="C318" t="s">
        <v>47</v>
      </c>
      <c r="D318" s="1" t="s">
        <v>48</v>
      </c>
      <c r="E318" s="1" t="s">
        <v>49</v>
      </c>
      <c r="F318">
        <v>2003</v>
      </c>
      <c r="G318">
        <v>266666</v>
      </c>
      <c r="H318" t="s">
        <v>1205</v>
      </c>
      <c r="I318" t="s">
        <v>868</v>
      </c>
      <c r="J318">
        <v>76</v>
      </c>
      <c r="K318" t="s">
        <v>876</v>
      </c>
      <c r="L318" t="b">
        <v>0</v>
      </c>
      <c r="M318" s="2">
        <v>44834.414097222223</v>
      </c>
      <c r="N318">
        <v>2022</v>
      </c>
    </row>
    <row r="319" spans="1:14" x14ac:dyDescent="0.25">
      <c r="A319" s="1" t="s">
        <v>50</v>
      </c>
      <c r="B319" s="1" t="s">
        <v>47</v>
      </c>
      <c r="C319" t="s">
        <v>47</v>
      </c>
      <c r="D319" s="1" t="s">
        <v>51</v>
      </c>
      <c r="E319" s="1" t="s">
        <v>52</v>
      </c>
      <c r="F319">
        <v>2012</v>
      </c>
      <c r="G319">
        <v>232280</v>
      </c>
      <c r="H319" t="s">
        <v>1206</v>
      </c>
      <c r="I319" t="s">
        <v>870</v>
      </c>
      <c r="J319">
        <v>64</v>
      </c>
      <c r="K319" t="s">
        <v>876</v>
      </c>
      <c r="L319" t="b">
        <v>0</v>
      </c>
      <c r="M319" s="2">
        <v>44834.414097222223</v>
      </c>
      <c r="N319">
        <v>2022</v>
      </c>
    </row>
    <row r="320" spans="1:14" x14ac:dyDescent="0.25">
      <c r="A320" s="1" t="s">
        <v>53</v>
      </c>
      <c r="B320" s="1" t="s">
        <v>54</v>
      </c>
      <c r="C320" t="s">
        <v>882</v>
      </c>
      <c r="D320" s="1" t="s">
        <v>53</v>
      </c>
      <c r="E320" s="1" t="s">
        <v>55</v>
      </c>
      <c r="F320">
        <v>2019</v>
      </c>
      <c r="G320">
        <v>258937</v>
      </c>
      <c r="H320" t="s">
        <v>1207</v>
      </c>
      <c r="I320" t="s">
        <v>868</v>
      </c>
      <c r="J320">
        <v>62</v>
      </c>
      <c r="K320" t="s">
        <v>876</v>
      </c>
      <c r="L320" t="b">
        <v>0</v>
      </c>
      <c r="M320" s="2">
        <v>44834.414097222223</v>
      </c>
      <c r="N320">
        <v>2022</v>
      </c>
    </row>
    <row r="321" spans="1:14" x14ac:dyDescent="0.25">
      <c r="A321" s="1" t="s">
        <v>56</v>
      </c>
      <c r="B321" s="1" t="s">
        <v>57</v>
      </c>
      <c r="C321" t="s">
        <v>57</v>
      </c>
      <c r="D321" s="1" t="s">
        <v>58</v>
      </c>
      <c r="E321" s="1" t="s">
        <v>59</v>
      </c>
      <c r="F321">
        <v>1992</v>
      </c>
      <c r="G321">
        <v>207013</v>
      </c>
      <c r="H321" t="s">
        <v>1208</v>
      </c>
      <c r="I321" t="s">
        <v>870</v>
      </c>
      <c r="J321">
        <v>66</v>
      </c>
      <c r="K321" t="s">
        <v>876</v>
      </c>
      <c r="L321" t="b">
        <v>0</v>
      </c>
      <c r="M321" s="2">
        <v>44834.414097222223</v>
      </c>
      <c r="N321">
        <v>2022</v>
      </c>
    </row>
    <row r="322" spans="1:14" x14ac:dyDescent="0.25">
      <c r="A322" s="1" t="s">
        <v>60</v>
      </c>
      <c r="B322" s="1" t="s">
        <v>26</v>
      </c>
      <c r="C322" t="s">
        <v>26</v>
      </c>
      <c r="D322" s="1" t="s">
        <v>61</v>
      </c>
      <c r="E322" s="1" t="s">
        <v>62</v>
      </c>
      <c r="F322">
        <v>2012</v>
      </c>
      <c r="G322">
        <v>259106</v>
      </c>
      <c r="H322" t="s">
        <v>1209</v>
      </c>
      <c r="I322" t="s">
        <v>868</v>
      </c>
      <c r="J322">
        <v>38</v>
      </c>
      <c r="K322" t="s">
        <v>877</v>
      </c>
      <c r="L322" t="b">
        <v>0</v>
      </c>
      <c r="M322" s="2">
        <v>44834.414097222223</v>
      </c>
      <c r="N322">
        <v>2022</v>
      </c>
    </row>
    <row r="323" spans="1:14" x14ac:dyDescent="0.25">
      <c r="A323" s="1" t="s">
        <v>63</v>
      </c>
      <c r="B323" s="1" t="s">
        <v>64</v>
      </c>
      <c r="C323" t="s">
        <v>64</v>
      </c>
      <c r="D323" s="1" t="s">
        <v>65</v>
      </c>
      <c r="E323" s="1" t="s">
        <v>66</v>
      </c>
      <c r="F323">
        <v>2010</v>
      </c>
      <c r="G323">
        <v>263666</v>
      </c>
      <c r="H323" t="s">
        <v>1210</v>
      </c>
      <c r="I323" t="s">
        <v>868</v>
      </c>
      <c r="J323">
        <v>69</v>
      </c>
      <c r="K323" t="s">
        <v>876</v>
      </c>
      <c r="L323" t="b">
        <v>0</v>
      </c>
      <c r="M323" s="2">
        <v>44834.414097222223</v>
      </c>
      <c r="N323">
        <v>2022</v>
      </c>
    </row>
    <row r="324" spans="1:14" x14ac:dyDescent="0.25">
      <c r="A324" s="1" t="s">
        <v>67</v>
      </c>
      <c r="B324" s="1" t="s">
        <v>68</v>
      </c>
      <c r="C324" t="s">
        <v>105</v>
      </c>
      <c r="D324" s="1" t="s">
        <v>67</v>
      </c>
      <c r="E324" s="1" t="s">
        <v>69</v>
      </c>
      <c r="F324">
        <v>2018</v>
      </c>
      <c r="G324">
        <v>201440</v>
      </c>
      <c r="H324" t="s">
        <v>1211</v>
      </c>
      <c r="I324" t="s">
        <v>870</v>
      </c>
      <c r="J324">
        <v>54</v>
      </c>
      <c r="K324" t="s">
        <v>879</v>
      </c>
      <c r="L324" t="b">
        <v>0</v>
      </c>
      <c r="M324" s="2">
        <v>44834.414097222223</v>
      </c>
      <c r="N324">
        <v>2022</v>
      </c>
    </row>
    <row r="325" spans="1:14" x14ac:dyDescent="0.25">
      <c r="A325" s="1" t="s">
        <v>70</v>
      </c>
      <c r="B325" s="1" t="s">
        <v>71</v>
      </c>
      <c r="C325" t="s">
        <v>71</v>
      </c>
      <c r="D325" s="1" t="s">
        <v>70</v>
      </c>
      <c r="E325" s="1" t="s">
        <v>72</v>
      </c>
      <c r="F325">
        <v>1998</v>
      </c>
      <c r="G325">
        <v>267280</v>
      </c>
      <c r="H325" t="s">
        <v>1212</v>
      </c>
      <c r="I325" t="s">
        <v>868</v>
      </c>
      <c r="J325">
        <v>50</v>
      </c>
      <c r="K325" t="s">
        <v>879</v>
      </c>
      <c r="L325" t="b">
        <v>0</v>
      </c>
      <c r="M325" s="2">
        <v>44834.414097222223</v>
      </c>
      <c r="N325">
        <v>2022</v>
      </c>
    </row>
    <row r="326" spans="1:14" x14ac:dyDescent="0.25">
      <c r="A326" s="1" t="s">
        <v>73</v>
      </c>
      <c r="B326" s="1" t="s">
        <v>71</v>
      </c>
      <c r="C326" t="s">
        <v>71</v>
      </c>
      <c r="D326" s="1" t="s">
        <v>70</v>
      </c>
      <c r="E326" s="1" t="s">
        <v>72</v>
      </c>
      <c r="F326">
        <v>1998</v>
      </c>
      <c r="G326">
        <v>288000</v>
      </c>
      <c r="H326" t="s">
        <v>1213</v>
      </c>
      <c r="I326" t="s">
        <v>868</v>
      </c>
      <c r="J326">
        <v>37</v>
      </c>
      <c r="K326" t="s">
        <v>877</v>
      </c>
      <c r="L326" t="b">
        <v>0</v>
      </c>
      <c r="M326" s="2">
        <v>44834.414097222223</v>
      </c>
      <c r="N326">
        <v>2022</v>
      </c>
    </row>
    <row r="327" spans="1:14" x14ac:dyDescent="0.25">
      <c r="A327" s="1" t="s">
        <v>74</v>
      </c>
      <c r="B327" s="1" t="s">
        <v>71</v>
      </c>
      <c r="C327" t="s">
        <v>71</v>
      </c>
      <c r="D327" s="1" t="s">
        <v>70</v>
      </c>
      <c r="E327" s="1" t="s">
        <v>72</v>
      </c>
      <c r="F327">
        <v>1998</v>
      </c>
      <c r="G327">
        <v>337133</v>
      </c>
      <c r="H327" t="s">
        <v>1214</v>
      </c>
      <c r="I327" t="s">
        <v>871</v>
      </c>
      <c r="J327">
        <v>38</v>
      </c>
      <c r="K327" t="s">
        <v>877</v>
      </c>
      <c r="L327" t="b">
        <v>0</v>
      </c>
      <c r="M327" s="2">
        <v>44834.414097222223</v>
      </c>
      <c r="N327">
        <v>2022</v>
      </c>
    </row>
    <row r="328" spans="1:14" x14ac:dyDescent="0.25">
      <c r="A328" s="1" t="s">
        <v>75</v>
      </c>
      <c r="B328" s="1" t="s">
        <v>71</v>
      </c>
      <c r="C328" t="s">
        <v>71</v>
      </c>
      <c r="D328" s="1" t="s">
        <v>70</v>
      </c>
      <c r="E328" s="1" t="s">
        <v>72</v>
      </c>
      <c r="F328">
        <v>1998</v>
      </c>
      <c r="G328">
        <v>316600</v>
      </c>
      <c r="H328" t="s">
        <v>1215</v>
      </c>
      <c r="I328" t="s">
        <v>871</v>
      </c>
      <c r="J328">
        <v>50</v>
      </c>
      <c r="K328" t="s">
        <v>879</v>
      </c>
      <c r="L328" t="b">
        <v>0</v>
      </c>
      <c r="M328" s="2">
        <v>44834.414097222223</v>
      </c>
      <c r="N328">
        <v>2022</v>
      </c>
    </row>
    <row r="329" spans="1:14" x14ac:dyDescent="0.25">
      <c r="A329" s="1" t="s">
        <v>76</v>
      </c>
      <c r="B329" s="1" t="s">
        <v>71</v>
      </c>
      <c r="C329" t="s">
        <v>71</v>
      </c>
      <c r="D329" s="1" t="s">
        <v>70</v>
      </c>
      <c r="E329" s="1" t="s">
        <v>72</v>
      </c>
      <c r="F329">
        <v>1998</v>
      </c>
      <c r="G329">
        <v>264160</v>
      </c>
      <c r="H329" t="s">
        <v>1216</v>
      </c>
      <c r="I329" t="s">
        <v>868</v>
      </c>
      <c r="J329">
        <v>68</v>
      </c>
      <c r="K329" t="s">
        <v>876</v>
      </c>
      <c r="L329" t="b">
        <v>0</v>
      </c>
      <c r="M329" s="2">
        <v>44834.414097222223</v>
      </c>
      <c r="N329">
        <v>2022</v>
      </c>
    </row>
    <row r="330" spans="1:14" x14ac:dyDescent="0.25">
      <c r="A330" s="1" t="s">
        <v>77</v>
      </c>
      <c r="B330" s="1" t="s">
        <v>64</v>
      </c>
      <c r="C330" t="s">
        <v>64</v>
      </c>
      <c r="D330" s="1" t="s">
        <v>78</v>
      </c>
      <c r="E330" s="1" t="s">
        <v>79</v>
      </c>
      <c r="F330">
        <v>2000</v>
      </c>
      <c r="G330">
        <v>236653</v>
      </c>
      <c r="H330" t="s">
        <v>1217</v>
      </c>
      <c r="I330" t="s">
        <v>870</v>
      </c>
      <c r="J330">
        <v>51</v>
      </c>
      <c r="K330" t="s">
        <v>879</v>
      </c>
      <c r="L330" t="b">
        <v>0</v>
      </c>
      <c r="M330" s="2">
        <v>44834.414097222223</v>
      </c>
      <c r="N330">
        <v>2022</v>
      </c>
    </row>
    <row r="331" spans="1:14" x14ac:dyDescent="0.25">
      <c r="A331" s="1" t="s">
        <v>80</v>
      </c>
      <c r="B331" s="1" t="s">
        <v>26</v>
      </c>
      <c r="C331" t="s">
        <v>26</v>
      </c>
      <c r="D331" s="1" t="s">
        <v>81</v>
      </c>
      <c r="E331" s="1" t="s">
        <v>82</v>
      </c>
      <c r="F331">
        <v>2017</v>
      </c>
      <c r="G331">
        <v>332120</v>
      </c>
      <c r="H331" t="s">
        <v>1218</v>
      </c>
      <c r="I331" t="s">
        <v>871</v>
      </c>
      <c r="J331">
        <v>33</v>
      </c>
      <c r="K331" t="s">
        <v>877</v>
      </c>
      <c r="L331" t="b">
        <v>0</v>
      </c>
      <c r="M331" s="2">
        <v>44834.414097222223</v>
      </c>
      <c r="N331">
        <v>2022</v>
      </c>
    </row>
    <row r="332" spans="1:14" x14ac:dyDescent="0.25">
      <c r="A332" s="1" t="s">
        <v>83</v>
      </c>
      <c r="B332" s="1" t="s">
        <v>84</v>
      </c>
      <c r="C332" t="s">
        <v>84</v>
      </c>
      <c r="D332" s="1" t="s">
        <v>85</v>
      </c>
      <c r="E332" s="1" t="s">
        <v>86</v>
      </c>
      <c r="F332">
        <v>2007</v>
      </c>
      <c r="G332">
        <v>249973</v>
      </c>
      <c r="H332" t="s">
        <v>1219</v>
      </c>
      <c r="I332" t="s">
        <v>868</v>
      </c>
      <c r="J332">
        <v>64</v>
      </c>
      <c r="K332" t="s">
        <v>876</v>
      </c>
      <c r="L332" t="b">
        <v>0</v>
      </c>
      <c r="M332" s="2">
        <v>44834.414097222223</v>
      </c>
      <c r="N332">
        <v>2022</v>
      </c>
    </row>
    <row r="333" spans="1:14" x14ac:dyDescent="0.25">
      <c r="A333" s="1" t="s">
        <v>87</v>
      </c>
      <c r="B333" s="1" t="s">
        <v>84</v>
      </c>
      <c r="C333" t="s">
        <v>84</v>
      </c>
      <c r="D333" s="1" t="s">
        <v>88</v>
      </c>
      <c r="E333" s="1" t="s">
        <v>31</v>
      </c>
      <c r="F333">
        <v>2016</v>
      </c>
      <c r="G333">
        <v>233346</v>
      </c>
      <c r="H333" t="s">
        <v>1220</v>
      </c>
      <c r="I333" t="s">
        <v>870</v>
      </c>
      <c r="J333">
        <v>68</v>
      </c>
      <c r="K333" t="s">
        <v>876</v>
      </c>
      <c r="L333" t="b">
        <v>0</v>
      </c>
      <c r="M333" s="2">
        <v>44834.414097222223</v>
      </c>
      <c r="N333">
        <v>2022</v>
      </c>
    </row>
    <row r="334" spans="1:14" x14ac:dyDescent="0.25">
      <c r="A334" s="1" t="s">
        <v>89</v>
      </c>
      <c r="B334" s="1" t="s">
        <v>90</v>
      </c>
      <c r="C334" t="s">
        <v>90</v>
      </c>
      <c r="D334" s="1" t="s">
        <v>91</v>
      </c>
      <c r="E334" s="1" t="s">
        <v>92</v>
      </c>
      <c r="F334">
        <v>2011</v>
      </c>
      <c r="G334">
        <v>170839</v>
      </c>
      <c r="H334" t="s">
        <v>1221</v>
      </c>
      <c r="I334" t="s">
        <v>869</v>
      </c>
      <c r="J334">
        <v>24</v>
      </c>
      <c r="K334" t="s">
        <v>877</v>
      </c>
      <c r="L334" t="b">
        <v>0</v>
      </c>
      <c r="M334" s="2">
        <v>44834.414097222223</v>
      </c>
      <c r="N334">
        <v>2022</v>
      </c>
    </row>
    <row r="335" spans="1:14" x14ac:dyDescent="0.25">
      <c r="A335" s="1" t="s">
        <v>93</v>
      </c>
      <c r="B335" s="1" t="s">
        <v>94</v>
      </c>
      <c r="C335" t="s">
        <v>94</v>
      </c>
      <c r="D335" s="1" t="s">
        <v>95</v>
      </c>
      <c r="E335" s="1" t="s">
        <v>96</v>
      </c>
      <c r="F335">
        <v>2015</v>
      </c>
      <c r="G335">
        <v>247640</v>
      </c>
      <c r="H335" t="s">
        <v>1222</v>
      </c>
      <c r="I335" t="s">
        <v>868</v>
      </c>
      <c r="J335">
        <v>81</v>
      </c>
      <c r="K335" t="s">
        <v>880</v>
      </c>
      <c r="L335" t="b">
        <v>0</v>
      </c>
      <c r="M335" s="2">
        <v>44834.414097222223</v>
      </c>
      <c r="N335">
        <v>2022</v>
      </c>
    </row>
    <row r="336" spans="1:14" x14ac:dyDescent="0.25">
      <c r="A336" s="1" t="s">
        <v>97</v>
      </c>
      <c r="B336" s="1" t="s">
        <v>16</v>
      </c>
      <c r="C336" t="s">
        <v>16</v>
      </c>
      <c r="D336" s="1" t="s">
        <v>98</v>
      </c>
      <c r="E336" s="1" t="s">
        <v>99</v>
      </c>
      <c r="F336">
        <v>2002</v>
      </c>
      <c r="G336">
        <v>262440</v>
      </c>
      <c r="H336" t="s">
        <v>1223</v>
      </c>
      <c r="I336" t="s">
        <v>868</v>
      </c>
      <c r="J336">
        <v>77</v>
      </c>
      <c r="K336" t="s">
        <v>876</v>
      </c>
      <c r="L336" t="b">
        <v>0</v>
      </c>
      <c r="M336" s="2">
        <v>44834.414097222223</v>
      </c>
      <c r="N336">
        <v>2022</v>
      </c>
    </row>
    <row r="337" spans="1:14" x14ac:dyDescent="0.25">
      <c r="A337" s="1" t="s">
        <v>100</v>
      </c>
      <c r="B337" s="1" t="s">
        <v>101</v>
      </c>
      <c r="C337" t="s">
        <v>57</v>
      </c>
      <c r="D337" s="1" t="s">
        <v>102</v>
      </c>
      <c r="E337" s="1" t="s">
        <v>103</v>
      </c>
      <c r="F337">
        <v>2011</v>
      </c>
      <c r="G337">
        <v>265306</v>
      </c>
      <c r="H337" t="s">
        <v>1224</v>
      </c>
      <c r="I337" t="s">
        <v>868</v>
      </c>
      <c r="J337">
        <v>4</v>
      </c>
      <c r="K337" t="s">
        <v>878</v>
      </c>
      <c r="L337" t="b">
        <v>0</v>
      </c>
      <c r="M337" s="2">
        <v>44834.414097222223</v>
      </c>
      <c r="N337">
        <v>2022</v>
      </c>
    </row>
    <row r="338" spans="1:14" x14ac:dyDescent="0.25">
      <c r="A338" s="1" t="s">
        <v>104</v>
      </c>
      <c r="B338" s="1" t="s">
        <v>105</v>
      </c>
      <c r="C338" t="s">
        <v>105</v>
      </c>
      <c r="D338" s="1" t="s">
        <v>106</v>
      </c>
      <c r="E338" s="1" t="s">
        <v>107</v>
      </c>
      <c r="F338">
        <v>2004</v>
      </c>
      <c r="G338">
        <v>231773</v>
      </c>
      <c r="H338" t="s">
        <v>1225</v>
      </c>
      <c r="I338" t="s">
        <v>870</v>
      </c>
      <c r="J338">
        <v>83</v>
      </c>
      <c r="K338" t="s">
        <v>880</v>
      </c>
      <c r="L338" t="b">
        <v>0</v>
      </c>
      <c r="M338" s="2">
        <v>44834.414097222223</v>
      </c>
      <c r="N338">
        <v>2022</v>
      </c>
    </row>
    <row r="339" spans="1:14" x14ac:dyDescent="0.25">
      <c r="A339" s="1" t="s">
        <v>108</v>
      </c>
      <c r="B339" s="1" t="s">
        <v>109</v>
      </c>
      <c r="C339" t="s">
        <v>109</v>
      </c>
      <c r="D339" s="1" t="s">
        <v>110</v>
      </c>
      <c r="E339" s="1" t="s">
        <v>111</v>
      </c>
      <c r="F339">
        <v>2004</v>
      </c>
      <c r="G339">
        <v>238160</v>
      </c>
      <c r="H339" t="s">
        <v>1226</v>
      </c>
      <c r="I339" t="s">
        <v>870</v>
      </c>
      <c r="J339">
        <v>80</v>
      </c>
      <c r="K339" t="s">
        <v>876</v>
      </c>
      <c r="L339" t="b">
        <v>0</v>
      </c>
      <c r="M339" s="2">
        <v>44834.414097222223</v>
      </c>
      <c r="N339">
        <v>2022</v>
      </c>
    </row>
    <row r="340" spans="1:14" x14ac:dyDescent="0.25">
      <c r="A340" s="1" t="s">
        <v>112</v>
      </c>
      <c r="B340" s="1" t="s">
        <v>113</v>
      </c>
      <c r="C340" t="s">
        <v>38</v>
      </c>
      <c r="D340" s="1" t="s">
        <v>114</v>
      </c>
      <c r="E340" s="1" t="s">
        <v>115</v>
      </c>
      <c r="F340">
        <v>2006</v>
      </c>
      <c r="G340">
        <v>247866</v>
      </c>
      <c r="H340" t="s">
        <v>1227</v>
      </c>
      <c r="I340" t="s">
        <v>868</v>
      </c>
      <c r="J340">
        <v>67</v>
      </c>
      <c r="K340" t="s">
        <v>876</v>
      </c>
      <c r="L340" t="b">
        <v>0</v>
      </c>
      <c r="M340" s="2">
        <v>44834.414097222223</v>
      </c>
      <c r="N340">
        <v>2022</v>
      </c>
    </row>
    <row r="341" spans="1:14" x14ac:dyDescent="0.25">
      <c r="A341" s="1" t="s">
        <v>116</v>
      </c>
      <c r="B341" s="1" t="s">
        <v>117</v>
      </c>
      <c r="C341" t="s">
        <v>109</v>
      </c>
      <c r="D341" s="1" t="s">
        <v>110</v>
      </c>
      <c r="E341" s="1" t="s">
        <v>111</v>
      </c>
      <c r="F341">
        <v>2004</v>
      </c>
      <c r="G341">
        <v>248000</v>
      </c>
      <c r="H341" t="s">
        <v>1228</v>
      </c>
      <c r="I341" t="s">
        <v>868</v>
      </c>
      <c r="J341">
        <v>71</v>
      </c>
      <c r="K341" t="s">
        <v>876</v>
      </c>
      <c r="L341" t="b">
        <v>0</v>
      </c>
      <c r="M341" s="2">
        <v>44834.414097222223</v>
      </c>
      <c r="N341">
        <v>2022</v>
      </c>
    </row>
    <row r="342" spans="1:14" x14ac:dyDescent="0.25">
      <c r="A342" s="1" t="s">
        <v>118</v>
      </c>
      <c r="B342" s="1" t="s">
        <v>84</v>
      </c>
      <c r="C342" t="s">
        <v>84</v>
      </c>
      <c r="D342" s="1" t="s">
        <v>119</v>
      </c>
      <c r="E342" s="1" t="s">
        <v>120</v>
      </c>
      <c r="F342">
        <v>2003</v>
      </c>
      <c r="G342">
        <v>227613</v>
      </c>
      <c r="H342" t="s">
        <v>1229</v>
      </c>
      <c r="I342" t="s">
        <v>870</v>
      </c>
      <c r="J342">
        <v>79</v>
      </c>
      <c r="K342" t="s">
        <v>876</v>
      </c>
      <c r="L342" t="b">
        <v>0</v>
      </c>
      <c r="M342" s="2">
        <v>44834.414097222223</v>
      </c>
      <c r="N342">
        <v>2022</v>
      </c>
    </row>
    <row r="343" spans="1:14" x14ac:dyDescent="0.25">
      <c r="A343" s="1" t="s">
        <v>121</v>
      </c>
      <c r="B343" s="1" t="s">
        <v>122</v>
      </c>
      <c r="C343" t="s">
        <v>122</v>
      </c>
      <c r="D343" s="1" t="s">
        <v>123</v>
      </c>
      <c r="E343" s="1" t="s">
        <v>124</v>
      </c>
      <c r="F343">
        <v>2001</v>
      </c>
      <c r="G343">
        <v>257440</v>
      </c>
      <c r="H343" t="s">
        <v>1230</v>
      </c>
      <c r="I343" t="s">
        <v>868</v>
      </c>
      <c r="J343">
        <v>63</v>
      </c>
      <c r="K343" t="s">
        <v>876</v>
      </c>
      <c r="L343" t="b">
        <v>0</v>
      </c>
      <c r="M343" s="2">
        <v>44834.414097222223</v>
      </c>
      <c r="N343">
        <v>2022</v>
      </c>
    </row>
    <row r="344" spans="1:14" x14ac:dyDescent="0.25">
      <c r="A344" s="1" t="s">
        <v>125</v>
      </c>
      <c r="B344" s="1" t="s">
        <v>57</v>
      </c>
      <c r="C344" t="s">
        <v>57</v>
      </c>
      <c r="D344" s="1" t="s">
        <v>126</v>
      </c>
      <c r="E344" s="1" t="s">
        <v>127</v>
      </c>
      <c r="F344">
        <v>2005</v>
      </c>
      <c r="G344">
        <v>228106</v>
      </c>
      <c r="H344" t="s">
        <v>1231</v>
      </c>
      <c r="I344" t="s">
        <v>870</v>
      </c>
      <c r="J344">
        <v>1</v>
      </c>
      <c r="K344" t="s">
        <v>878</v>
      </c>
      <c r="L344" t="b">
        <v>0</v>
      </c>
      <c r="M344" s="2">
        <v>44834.414097222223</v>
      </c>
      <c r="N344">
        <v>2022</v>
      </c>
    </row>
    <row r="345" spans="1:14" x14ac:dyDescent="0.25">
      <c r="A345" s="1" t="s">
        <v>128</v>
      </c>
      <c r="B345" s="1" t="s">
        <v>38</v>
      </c>
      <c r="C345" t="s">
        <v>38</v>
      </c>
      <c r="D345" s="1" t="s">
        <v>129</v>
      </c>
      <c r="E345" s="1" t="s">
        <v>130</v>
      </c>
      <c r="F345">
        <v>1995</v>
      </c>
      <c r="G345">
        <v>279000</v>
      </c>
      <c r="H345" t="s">
        <v>1232</v>
      </c>
      <c r="I345" t="s">
        <v>868</v>
      </c>
      <c r="J345">
        <v>68</v>
      </c>
      <c r="K345" t="s">
        <v>876</v>
      </c>
      <c r="L345" t="b">
        <v>0</v>
      </c>
      <c r="M345" s="2">
        <v>44834.414097222223</v>
      </c>
      <c r="N345">
        <v>2022</v>
      </c>
    </row>
    <row r="346" spans="1:14" x14ac:dyDescent="0.25">
      <c r="A346" s="1" t="s">
        <v>131</v>
      </c>
      <c r="B346" s="1" t="s">
        <v>84</v>
      </c>
      <c r="C346" t="s">
        <v>84</v>
      </c>
      <c r="D346" s="1" t="s">
        <v>132</v>
      </c>
      <c r="E346" s="1" t="s">
        <v>133</v>
      </c>
      <c r="F346">
        <v>2006</v>
      </c>
      <c r="G346">
        <v>225760</v>
      </c>
      <c r="H346" t="s">
        <v>947</v>
      </c>
      <c r="I346" t="s">
        <v>870</v>
      </c>
      <c r="J346">
        <v>64</v>
      </c>
      <c r="K346" t="s">
        <v>876</v>
      </c>
      <c r="L346" t="b">
        <v>0</v>
      </c>
      <c r="M346" s="2">
        <v>44834.414097222223</v>
      </c>
      <c r="N346">
        <v>2022</v>
      </c>
    </row>
    <row r="347" spans="1:14" x14ac:dyDescent="0.25">
      <c r="A347" s="1" t="s">
        <v>134</v>
      </c>
      <c r="B347" s="1" t="s">
        <v>38</v>
      </c>
      <c r="C347" t="s">
        <v>38</v>
      </c>
      <c r="D347" s="1" t="s">
        <v>135</v>
      </c>
      <c r="E347" s="1" t="s">
        <v>136</v>
      </c>
      <c r="F347">
        <v>2011</v>
      </c>
      <c r="G347">
        <v>237373</v>
      </c>
      <c r="H347" t="s">
        <v>1233</v>
      </c>
      <c r="I347" t="s">
        <v>870</v>
      </c>
      <c r="J347">
        <v>50</v>
      </c>
      <c r="K347" t="s">
        <v>879</v>
      </c>
      <c r="L347" t="b">
        <v>0</v>
      </c>
      <c r="M347" s="2">
        <v>44834.414097222223</v>
      </c>
      <c r="N347">
        <v>2022</v>
      </c>
    </row>
    <row r="348" spans="1:14" x14ac:dyDescent="0.25">
      <c r="A348" s="1" t="s">
        <v>137</v>
      </c>
      <c r="B348" s="1" t="s">
        <v>26</v>
      </c>
      <c r="C348" t="s">
        <v>26</v>
      </c>
      <c r="D348" s="1" t="s">
        <v>27</v>
      </c>
      <c r="E348" s="1" t="s">
        <v>28</v>
      </c>
      <c r="F348">
        <v>2018</v>
      </c>
      <c r="G348">
        <v>305013</v>
      </c>
      <c r="H348" t="s">
        <v>1234</v>
      </c>
      <c r="I348" t="s">
        <v>871</v>
      </c>
      <c r="J348">
        <v>29</v>
      </c>
      <c r="K348" t="s">
        <v>877</v>
      </c>
      <c r="L348" t="b">
        <v>0</v>
      </c>
      <c r="M348" s="2">
        <v>44834.414097222223</v>
      </c>
      <c r="N348">
        <v>2022</v>
      </c>
    </row>
    <row r="349" spans="1:14" x14ac:dyDescent="0.25">
      <c r="A349" s="1" t="s">
        <v>138</v>
      </c>
      <c r="B349" s="1" t="s">
        <v>71</v>
      </c>
      <c r="C349" t="s">
        <v>71</v>
      </c>
      <c r="D349" s="1" t="s">
        <v>71</v>
      </c>
      <c r="E349" s="1" t="s">
        <v>139</v>
      </c>
      <c r="F349">
        <v>1995</v>
      </c>
      <c r="G349">
        <v>244026</v>
      </c>
      <c r="H349" t="s">
        <v>1235</v>
      </c>
      <c r="I349" t="s">
        <v>868</v>
      </c>
      <c r="J349">
        <v>69</v>
      </c>
      <c r="K349" t="s">
        <v>876</v>
      </c>
      <c r="L349" t="b">
        <v>0</v>
      </c>
      <c r="M349" s="2">
        <v>44834.414097222223</v>
      </c>
      <c r="N349">
        <v>2022</v>
      </c>
    </row>
    <row r="350" spans="1:14" x14ac:dyDescent="0.25">
      <c r="A350" s="1" t="s">
        <v>140</v>
      </c>
      <c r="B350" s="1" t="s">
        <v>64</v>
      </c>
      <c r="C350" t="s">
        <v>64</v>
      </c>
      <c r="D350" s="1" t="s">
        <v>141</v>
      </c>
      <c r="E350" s="1" t="s">
        <v>142</v>
      </c>
      <c r="F350">
        <v>1998</v>
      </c>
      <c r="G350">
        <v>284466</v>
      </c>
      <c r="H350" t="s">
        <v>1236</v>
      </c>
      <c r="I350" t="s">
        <v>868</v>
      </c>
      <c r="J350">
        <v>72</v>
      </c>
      <c r="K350" t="s">
        <v>876</v>
      </c>
      <c r="L350" t="b">
        <v>0</v>
      </c>
      <c r="M350" s="2">
        <v>44834.414097222223</v>
      </c>
      <c r="N350">
        <v>2022</v>
      </c>
    </row>
    <row r="351" spans="1:14" x14ac:dyDescent="0.25">
      <c r="A351" s="1" t="s">
        <v>143</v>
      </c>
      <c r="B351" s="1" t="s">
        <v>26</v>
      </c>
      <c r="C351" t="s">
        <v>26</v>
      </c>
      <c r="D351" s="1" t="s">
        <v>144</v>
      </c>
      <c r="E351" s="1" t="s">
        <v>145</v>
      </c>
      <c r="F351">
        <v>2014</v>
      </c>
      <c r="G351">
        <v>241013</v>
      </c>
      <c r="H351" t="s">
        <v>1237</v>
      </c>
      <c r="I351" t="s">
        <v>868</v>
      </c>
      <c r="J351">
        <v>25</v>
      </c>
      <c r="K351" t="s">
        <v>877</v>
      </c>
      <c r="L351" t="b">
        <v>0</v>
      </c>
      <c r="M351" s="2">
        <v>44834.414097222223</v>
      </c>
      <c r="N351">
        <v>2022</v>
      </c>
    </row>
    <row r="352" spans="1:14" x14ac:dyDescent="0.25">
      <c r="A352" s="1" t="s">
        <v>146</v>
      </c>
      <c r="B352" s="1" t="s">
        <v>147</v>
      </c>
      <c r="C352" t="s">
        <v>38</v>
      </c>
      <c r="D352" s="1" t="s">
        <v>148</v>
      </c>
      <c r="E352" s="1" t="s">
        <v>149</v>
      </c>
      <c r="F352">
        <v>2020</v>
      </c>
      <c r="G352">
        <v>232331</v>
      </c>
      <c r="H352" t="s">
        <v>1238</v>
      </c>
      <c r="I352" t="s">
        <v>870</v>
      </c>
      <c r="J352">
        <v>53</v>
      </c>
      <c r="K352" t="s">
        <v>879</v>
      </c>
      <c r="L352" t="b">
        <v>0</v>
      </c>
      <c r="M352" s="2">
        <v>44834.414097222223</v>
      </c>
      <c r="N352">
        <v>2022</v>
      </c>
    </row>
    <row r="353" spans="1:14" x14ac:dyDescent="0.25">
      <c r="A353" s="1" t="s">
        <v>150</v>
      </c>
      <c r="B353" s="1" t="s">
        <v>151</v>
      </c>
      <c r="C353" t="s">
        <v>151</v>
      </c>
      <c r="D353" s="1" t="s">
        <v>152</v>
      </c>
      <c r="E353" s="1" t="s">
        <v>153</v>
      </c>
      <c r="F353">
        <v>1989</v>
      </c>
      <c r="G353">
        <v>331360</v>
      </c>
      <c r="H353" t="s">
        <v>1239</v>
      </c>
      <c r="I353" t="s">
        <v>871</v>
      </c>
      <c r="J353">
        <v>76</v>
      </c>
      <c r="K353" t="s">
        <v>876</v>
      </c>
      <c r="L353" t="b">
        <v>0</v>
      </c>
      <c r="M353" s="2">
        <v>44834.414097222223</v>
      </c>
      <c r="N353">
        <v>2022</v>
      </c>
    </row>
    <row r="354" spans="1:14" x14ac:dyDescent="0.25">
      <c r="A354" s="1" t="s">
        <v>154</v>
      </c>
      <c r="B354" s="1" t="s">
        <v>155</v>
      </c>
      <c r="C354" t="s">
        <v>155</v>
      </c>
      <c r="D354" s="1" t="s">
        <v>156</v>
      </c>
      <c r="E354" s="1" t="s">
        <v>157</v>
      </c>
      <c r="F354">
        <v>2000</v>
      </c>
      <c r="G354">
        <v>247693</v>
      </c>
      <c r="H354" t="s">
        <v>1240</v>
      </c>
      <c r="I354" t="s">
        <v>868</v>
      </c>
      <c r="J354">
        <v>81</v>
      </c>
      <c r="K354" t="s">
        <v>880</v>
      </c>
      <c r="L354" t="b">
        <v>0</v>
      </c>
      <c r="M354" s="2">
        <v>44834.414097222223</v>
      </c>
      <c r="N354">
        <v>2022</v>
      </c>
    </row>
    <row r="355" spans="1:14" x14ac:dyDescent="0.25">
      <c r="A355" s="1" t="s">
        <v>158</v>
      </c>
      <c r="B355" s="1" t="s">
        <v>159</v>
      </c>
      <c r="C355" t="s">
        <v>316</v>
      </c>
      <c r="D355" s="1" t="s">
        <v>158</v>
      </c>
      <c r="E355" s="1" t="s">
        <v>160</v>
      </c>
      <c r="F355">
        <v>2015</v>
      </c>
      <c r="G355">
        <v>321323</v>
      </c>
      <c r="H355" t="s">
        <v>1241</v>
      </c>
      <c r="I355" t="s">
        <v>871</v>
      </c>
      <c r="J355">
        <v>51</v>
      </c>
      <c r="K355" t="s">
        <v>879</v>
      </c>
      <c r="L355" t="b">
        <v>0</v>
      </c>
      <c r="M355" s="2">
        <v>44834.414097222223</v>
      </c>
      <c r="N355">
        <v>2022</v>
      </c>
    </row>
    <row r="356" spans="1:14" x14ac:dyDescent="0.25">
      <c r="A356" s="1" t="s">
        <v>161</v>
      </c>
      <c r="B356" s="1" t="s">
        <v>162</v>
      </c>
      <c r="C356" t="s">
        <v>122</v>
      </c>
      <c r="D356" s="1" t="s">
        <v>163</v>
      </c>
      <c r="E356" s="1" t="s">
        <v>164</v>
      </c>
      <c r="F356">
        <v>2013</v>
      </c>
      <c r="G356">
        <v>234938</v>
      </c>
      <c r="H356" t="s">
        <v>1242</v>
      </c>
      <c r="I356" t="s">
        <v>870</v>
      </c>
      <c r="J356">
        <v>48</v>
      </c>
      <c r="K356" t="s">
        <v>879</v>
      </c>
      <c r="L356" t="b">
        <v>0</v>
      </c>
      <c r="M356" s="2">
        <v>44834.414097222223</v>
      </c>
      <c r="N356">
        <v>2022</v>
      </c>
    </row>
    <row r="357" spans="1:14" x14ac:dyDescent="0.25">
      <c r="A357" s="1" t="s">
        <v>165</v>
      </c>
      <c r="B357" s="1" t="s">
        <v>166</v>
      </c>
      <c r="C357" t="s">
        <v>122</v>
      </c>
      <c r="D357" s="1" t="s">
        <v>167</v>
      </c>
      <c r="E357" s="1" t="s">
        <v>164</v>
      </c>
      <c r="F357">
        <v>2013</v>
      </c>
      <c r="G357">
        <v>265904</v>
      </c>
      <c r="H357" t="s">
        <v>1243</v>
      </c>
      <c r="I357" t="s">
        <v>868</v>
      </c>
      <c r="J357">
        <v>36</v>
      </c>
      <c r="K357" t="s">
        <v>877</v>
      </c>
      <c r="L357" t="b">
        <v>0</v>
      </c>
      <c r="M357" s="2">
        <v>44834.414097222223</v>
      </c>
      <c r="N357">
        <v>2022</v>
      </c>
    </row>
    <row r="358" spans="1:14" x14ac:dyDescent="0.25">
      <c r="A358" s="1" t="s">
        <v>168</v>
      </c>
      <c r="B358" s="1" t="s">
        <v>64</v>
      </c>
      <c r="C358" t="s">
        <v>64</v>
      </c>
      <c r="D358" s="1" t="s">
        <v>169</v>
      </c>
      <c r="E358" s="1" t="s">
        <v>170</v>
      </c>
      <c r="F358">
        <v>2014</v>
      </c>
      <c r="G358">
        <v>225985</v>
      </c>
      <c r="H358" t="s">
        <v>1244</v>
      </c>
      <c r="I358" t="s">
        <v>870</v>
      </c>
      <c r="J358">
        <v>72</v>
      </c>
      <c r="K358" t="s">
        <v>876</v>
      </c>
      <c r="L358" t="b">
        <v>0</v>
      </c>
      <c r="M358" s="2">
        <v>44834.414097222223</v>
      </c>
      <c r="N358">
        <v>2022</v>
      </c>
    </row>
    <row r="359" spans="1:14" x14ac:dyDescent="0.25">
      <c r="A359" s="1" t="s">
        <v>141</v>
      </c>
      <c r="B359" s="1" t="s">
        <v>64</v>
      </c>
      <c r="C359" t="s">
        <v>64</v>
      </c>
      <c r="D359" s="1" t="s">
        <v>141</v>
      </c>
      <c r="E359" s="1" t="s">
        <v>142</v>
      </c>
      <c r="F359">
        <v>1998</v>
      </c>
      <c r="G359">
        <v>302773</v>
      </c>
      <c r="H359" t="s">
        <v>1245</v>
      </c>
      <c r="I359" t="s">
        <v>871</v>
      </c>
      <c r="J359">
        <v>62</v>
      </c>
      <c r="K359" t="s">
        <v>876</v>
      </c>
      <c r="L359" t="b">
        <v>0</v>
      </c>
      <c r="M359" s="2">
        <v>44834.414097222223</v>
      </c>
      <c r="N359">
        <v>2022</v>
      </c>
    </row>
    <row r="360" spans="1:14" x14ac:dyDescent="0.25">
      <c r="A360" s="1" t="s">
        <v>171</v>
      </c>
      <c r="B360" s="1" t="s">
        <v>155</v>
      </c>
      <c r="C360" t="s">
        <v>155</v>
      </c>
      <c r="D360" s="1" t="s">
        <v>172</v>
      </c>
      <c r="E360" s="1" t="s">
        <v>173</v>
      </c>
      <c r="F360">
        <v>2008</v>
      </c>
      <c r="G360">
        <v>239240</v>
      </c>
      <c r="H360" t="s">
        <v>1246</v>
      </c>
      <c r="I360" t="s">
        <v>870</v>
      </c>
      <c r="J360">
        <v>72</v>
      </c>
      <c r="K360" t="s">
        <v>876</v>
      </c>
      <c r="L360" t="b">
        <v>0</v>
      </c>
      <c r="M360" s="2">
        <v>44834.414097222223</v>
      </c>
      <c r="N360">
        <v>2022</v>
      </c>
    </row>
    <row r="361" spans="1:14" x14ac:dyDescent="0.25">
      <c r="A361" s="1" t="s">
        <v>174</v>
      </c>
      <c r="B361" s="1" t="s">
        <v>175</v>
      </c>
      <c r="C361" t="s">
        <v>94</v>
      </c>
      <c r="D361" s="1" t="s">
        <v>176</v>
      </c>
      <c r="E361" s="1" t="s">
        <v>177</v>
      </c>
      <c r="F361">
        <v>2020</v>
      </c>
      <c r="G361">
        <v>216000</v>
      </c>
      <c r="H361" t="s">
        <v>1247</v>
      </c>
      <c r="I361" t="s">
        <v>870</v>
      </c>
      <c r="J361">
        <v>76</v>
      </c>
      <c r="K361" t="s">
        <v>876</v>
      </c>
      <c r="L361" t="b">
        <v>0</v>
      </c>
      <c r="M361" s="2">
        <v>44834.414097222223</v>
      </c>
      <c r="N361">
        <v>2022</v>
      </c>
    </row>
    <row r="362" spans="1:14" x14ac:dyDescent="0.25">
      <c r="A362" s="1" t="s">
        <v>178</v>
      </c>
      <c r="B362" s="1" t="s">
        <v>179</v>
      </c>
      <c r="C362" t="s">
        <v>179</v>
      </c>
      <c r="D362" s="1" t="s">
        <v>180</v>
      </c>
      <c r="E362" s="1" t="s">
        <v>181</v>
      </c>
      <c r="F362">
        <v>2014</v>
      </c>
      <c r="G362">
        <v>190480</v>
      </c>
      <c r="H362" t="s">
        <v>1248</v>
      </c>
      <c r="I362" t="s">
        <v>870</v>
      </c>
      <c r="J362">
        <v>68</v>
      </c>
      <c r="K362" t="s">
        <v>876</v>
      </c>
      <c r="L362" t="b">
        <v>0</v>
      </c>
      <c r="M362" s="2">
        <v>44834.414097222223</v>
      </c>
      <c r="N362">
        <v>2022</v>
      </c>
    </row>
    <row r="363" spans="1:14" x14ac:dyDescent="0.25">
      <c r="A363" s="1" t="s">
        <v>182</v>
      </c>
      <c r="B363" s="1" t="s">
        <v>183</v>
      </c>
      <c r="C363" t="s">
        <v>94</v>
      </c>
      <c r="D363" s="1" t="s">
        <v>95</v>
      </c>
      <c r="E363" s="1" t="s">
        <v>96</v>
      </c>
      <c r="F363">
        <v>2015</v>
      </c>
      <c r="G363">
        <v>210733</v>
      </c>
      <c r="H363" t="s">
        <v>1249</v>
      </c>
      <c r="I363" t="s">
        <v>870</v>
      </c>
      <c r="J363">
        <v>67</v>
      </c>
      <c r="K363" t="s">
        <v>876</v>
      </c>
      <c r="L363" t="b">
        <v>0</v>
      </c>
      <c r="M363" s="2">
        <v>44834.414097222223</v>
      </c>
      <c r="N363">
        <v>2022</v>
      </c>
    </row>
    <row r="364" spans="1:14" x14ac:dyDescent="0.25">
      <c r="A364" s="1" t="s">
        <v>184</v>
      </c>
      <c r="B364" s="1" t="s">
        <v>185</v>
      </c>
      <c r="C364" t="s">
        <v>185</v>
      </c>
      <c r="D364" s="1" t="s">
        <v>185</v>
      </c>
      <c r="E364" s="1" t="s">
        <v>186</v>
      </c>
      <c r="F364">
        <v>2005</v>
      </c>
      <c r="G364">
        <v>171426</v>
      </c>
      <c r="H364" t="s">
        <v>1250</v>
      </c>
      <c r="I364" t="s">
        <v>869</v>
      </c>
      <c r="J364">
        <v>25</v>
      </c>
      <c r="K364" t="s">
        <v>877</v>
      </c>
      <c r="L364" t="b">
        <v>0</v>
      </c>
      <c r="M364" s="2">
        <v>44834.414097222223</v>
      </c>
      <c r="N364">
        <v>2022</v>
      </c>
    </row>
    <row r="365" spans="1:14" x14ac:dyDescent="0.25">
      <c r="A365" s="1" t="s">
        <v>187</v>
      </c>
      <c r="B365" s="1" t="s">
        <v>155</v>
      </c>
      <c r="C365" t="s">
        <v>155</v>
      </c>
      <c r="D365" s="1" t="s">
        <v>188</v>
      </c>
      <c r="E365" s="1" t="s">
        <v>189</v>
      </c>
      <c r="F365">
        <v>2003</v>
      </c>
      <c r="G365">
        <v>236506</v>
      </c>
      <c r="H365" t="s">
        <v>1251</v>
      </c>
      <c r="I365" t="s">
        <v>870</v>
      </c>
      <c r="J365">
        <v>83</v>
      </c>
      <c r="K365" t="s">
        <v>880</v>
      </c>
      <c r="L365" t="b">
        <v>0</v>
      </c>
      <c r="M365" s="2">
        <v>44834.414097222223</v>
      </c>
      <c r="N365">
        <v>2022</v>
      </c>
    </row>
    <row r="366" spans="1:14" x14ac:dyDescent="0.25">
      <c r="A366" s="1" t="s">
        <v>190</v>
      </c>
      <c r="B366" s="1" t="s">
        <v>185</v>
      </c>
      <c r="C366" t="s">
        <v>185</v>
      </c>
      <c r="D366" s="1" t="s">
        <v>185</v>
      </c>
      <c r="E366" s="1" t="s">
        <v>186</v>
      </c>
      <c r="F366">
        <v>2005</v>
      </c>
      <c r="G366">
        <v>217986</v>
      </c>
      <c r="H366" t="s">
        <v>1252</v>
      </c>
      <c r="I366" t="s">
        <v>870</v>
      </c>
      <c r="J366">
        <v>50</v>
      </c>
      <c r="K366" t="s">
        <v>879</v>
      </c>
      <c r="L366" t="b">
        <v>0</v>
      </c>
      <c r="M366" s="2">
        <v>44834.414097222223</v>
      </c>
      <c r="N366">
        <v>2022</v>
      </c>
    </row>
    <row r="367" spans="1:14" x14ac:dyDescent="0.25">
      <c r="A367" s="1" t="s">
        <v>191</v>
      </c>
      <c r="B367" s="1" t="s">
        <v>26</v>
      </c>
      <c r="C367" t="s">
        <v>26</v>
      </c>
      <c r="D367" s="1" t="s">
        <v>61</v>
      </c>
      <c r="E367" s="1" t="s">
        <v>62</v>
      </c>
      <c r="F367">
        <v>2012</v>
      </c>
      <c r="G367">
        <v>228253</v>
      </c>
      <c r="H367" t="s">
        <v>1007</v>
      </c>
      <c r="I367" t="s">
        <v>870</v>
      </c>
      <c r="J367">
        <v>32</v>
      </c>
      <c r="K367" t="s">
        <v>877</v>
      </c>
      <c r="L367" t="b">
        <v>0</v>
      </c>
      <c r="M367" s="2">
        <v>44834.414097222223</v>
      </c>
      <c r="N367">
        <v>2022</v>
      </c>
    </row>
    <row r="368" spans="1:14" x14ac:dyDescent="0.25">
      <c r="A368" s="1" t="s">
        <v>192</v>
      </c>
      <c r="B368" s="1" t="s">
        <v>193</v>
      </c>
      <c r="C368" t="s">
        <v>105</v>
      </c>
      <c r="D368" s="1" t="s">
        <v>194</v>
      </c>
      <c r="E368" s="1" t="s">
        <v>195</v>
      </c>
      <c r="F368">
        <v>2013</v>
      </c>
      <c r="G368">
        <v>291106</v>
      </c>
      <c r="H368" t="s">
        <v>1253</v>
      </c>
      <c r="I368" t="s">
        <v>868</v>
      </c>
      <c r="J368">
        <v>74</v>
      </c>
      <c r="K368" t="s">
        <v>876</v>
      </c>
      <c r="L368" t="b">
        <v>0</v>
      </c>
      <c r="M368" s="2">
        <v>44834.414097222223</v>
      </c>
      <c r="N368">
        <v>2022</v>
      </c>
    </row>
    <row r="369" spans="1:14" x14ac:dyDescent="0.25">
      <c r="A369" s="1" t="s">
        <v>196</v>
      </c>
      <c r="B369" s="1" t="s">
        <v>185</v>
      </c>
      <c r="C369" t="s">
        <v>185</v>
      </c>
      <c r="D369" s="1" t="s">
        <v>197</v>
      </c>
      <c r="E369" s="1" t="s">
        <v>198</v>
      </c>
      <c r="F369">
        <v>2006</v>
      </c>
      <c r="G369">
        <v>195573</v>
      </c>
      <c r="H369" t="s">
        <v>1254</v>
      </c>
      <c r="I369" t="s">
        <v>870</v>
      </c>
      <c r="J369">
        <v>34</v>
      </c>
      <c r="K369" t="s">
        <v>877</v>
      </c>
      <c r="L369" t="b">
        <v>0</v>
      </c>
      <c r="M369" s="2">
        <v>44834.414097222223</v>
      </c>
      <c r="N369">
        <v>2022</v>
      </c>
    </row>
    <row r="370" spans="1:14" x14ac:dyDescent="0.25">
      <c r="A370" s="1" t="s">
        <v>199</v>
      </c>
      <c r="B370" s="1" t="s">
        <v>71</v>
      </c>
      <c r="C370" t="s">
        <v>71</v>
      </c>
      <c r="D370" s="1" t="s">
        <v>200</v>
      </c>
      <c r="E370" s="1" t="s">
        <v>201</v>
      </c>
      <c r="F370">
        <v>2007</v>
      </c>
      <c r="G370">
        <v>217933</v>
      </c>
      <c r="H370" t="s">
        <v>1255</v>
      </c>
      <c r="I370" t="s">
        <v>870</v>
      </c>
      <c r="J370">
        <v>60</v>
      </c>
      <c r="K370" t="s">
        <v>879</v>
      </c>
      <c r="L370" t="b">
        <v>0</v>
      </c>
      <c r="M370" s="2">
        <v>44834.414097222223</v>
      </c>
      <c r="N370">
        <v>2022</v>
      </c>
    </row>
    <row r="371" spans="1:14" x14ac:dyDescent="0.25">
      <c r="A371" s="1" t="s">
        <v>202</v>
      </c>
      <c r="B371" s="1" t="s">
        <v>57</v>
      </c>
      <c r="C371" t="s">
        <v>57</v>
      </c>
      <c r="D371" s="1" t="s">
        <v>203</v>
      </c>
      <c r="E371" s="1" t="s">
        <v>204</v>
      </c>
      <c r="F371">
        <v>2013</v>
      </c>
      <c r="G371">
        <v>246440</v>
      </c>
      <c r="H371" t="s">
        <v>1256</v>
      </c>
      <c r="I371" t="s">
        <v>868</v>
      </c>
      <c r="J371">
        <v>59</v>
      </c>
      <c r="K371" t="s">
        <v>879</v>
      </c>
      <c r="L371" t="b">
        <v>0</v>
      </c>
      <c r="M371" s="2">
        <v>44834.414097222223</v>
      </c>
      <c r="N371">
        <v>2022</v>
      </c>
    </row>
    <row r="372" spans="1:14" x14ac:dyDescent="0.25">
      <c r="A372" s="1" t="s">
        <v>205</v>
      </c>
      <c r="B372" s="1" t="s">
        <v>206</v>
      </c>
      <c r="C372" t="s">
        <v>109</v>
      </c>
      <c r="D372" s="1" t="s">
        <v>207</v>
      </c>
      <c r="E372" s="1" t="s">
        <v>208</v>
      </c>
      <c r="F372">
        <v>2011</v>
      </c>
      <c r="G372">
        <v>237720</v>
      </c>
      <c r="H372" t="s">
        <v>1257</v>
      </c>
      <c r="I372" t="s">
        <v>870</v>
      </c>
      <c r="J372">
        <v>68</v>
      </c>
      <c r="K372" t="s">
        <v>876</v>
      </c>
      <c r="L372" t="b">
        <v>0</v>
      </c>
      <c r="M372" s="2">
        <v>44834.414097222223</v>
      </c>
      <c r="N372">
        <v>2022</v>
      </c>
    </row>
    <row r="373" spans="1:14" x14ac:dyDescent="0.25">
      <c r="A373" s="1" t="s">
        <v>209</v>
      </c>
      <c r="B373" s="1" t="s">
        <v>210</v>
      </c>
      <c r="C373" t="s">
        <v>210</v>
      </c>
      <c r="D373" s="1" t="s">
        <v>211</v>
      </c>
      <c r="E373" s="1" t="s">
        <v>133</v>
      </c>
      <c r="F373">
        <v>2006</v>
      </c>
      <c r="G373">
        <v>230720</v>
      </c>
      <c r="H373" t="s">
        <v>1258</v>
      </c>
      <c r="I373" t="s">
        <v>870</v>
      </c>
      <c r="J373">
        <v>69</v>
      </c>
      <c r="K373" t="s">
        <v>876</v>
      </c>
      <c r="L373" t="b">
        <v>0</v>
      </c>
      <c r="M373" s="2">
        <v>44834.414097222223</v>
      </c>
      <c r="N373">
        <v>2022</v>
      </c>
    </row>
    <row r="374" spans="1:14" x14ac:dyDescent="0.25">
      <c r="A374" s="1" t="s">
        <v>212</v>
      </c>
      <c r="B374" s="1" t="s">
        <v>213</v>
      </c>
      <c r="C374" t="s">
        <v>94</v>
      </c>
      <c r="D374" s="1" t="s">
        <v>214</v>
      </c>
      <c r="E374" s="1" t="s">
        <v>215</v>
      </c>
      <c r="F374">
        <v>2011</v>
      </c>
      <c r="G374">
        <v>248499</v>
      </c>
      <c r="H374" t="s">
        <v>1259</v>
      </c>
      <c r="I374" t="s">
        <v>868</v>
      </c>
      <c r="J374">
        <v>53</v>
      </c>
      <c r="K374" t="s">
        <v>879</v>
      </c>
      <c r="L374" t="b">
        <v>0</v>
      </c>
      <c r="M374" s="2">
        <v>44834.414097222223</v>
      </c>
      <c r="N374">
        <v>2022</v>
      </c>
    </row>
    <row r="375" spans="1:14" x14ac:dyDescent="0.25">
      <c r="A375" s="1" t="s">
        <v>216</v>
      </c>
      <c r="B375" s="1" t="s">
        <v>71</v>
      </c>
      <c r="C375" t="s">
        <v>71</v>
      </c>
      <c r="D375" s="1" t="s">
        <v>217</v>
      </c>
      <c r="E375" s="1" t="s">
        <v>218</v>
      </c>
      <c r="F375">
        <v>1997</v>
      </c>
      <c r="G375">
        <v>268773</v>
      </c>
      <c r="H375" t="s">
        <v>1260</v>
      </c>
      <c r="I375" t="s">
        <v>868</v>
      </c>
      <c r="J375">
        <v>61</v>
      </c>
      <c r="K375" t="s">
        <v>876</v>
      </c>
      <c r="L375" t="b">
        <v>0</v>
      </c>
      <c r="M375" s="2">
        <v>44834.414097222223</v>
      </c>
      <c r="N375">
        <v>2022</v>
      </c>
    </row>
    <row r="376" spans="1:14" x14ac:dyDescent="0.25">
      <c r="A376" s="1" t="s">
        <v>219</v>
      </c>
      <c r="B376" s="1" t="s">
        <v>71</v>
      </c>
      <c r="C376" t="s">
        <v>71</v>
      </c>
      <c r="D376" s="1" t="s">
        <v>70</v>
      </c>
      <c r="E376" s="1" t="s">
        <v>72</v>
      </c>
      <c r="F376">
        <v>1998</v>
      </c>
      <c r="G376">
        <v>253480</v>
      </c>
      <c r="H376" t="s">
        <v>1261</v>
      </c>
      <c r="I376" t="s">
        <v>868</v>
      </c>
      <c r="J376">
        <v>39</v>
      </c>
      <c r="K376" t="s">
        <v>877</v>
      </c>
      <c r="L376" t="b">
        <v>0</v>
      </c>
      <c r="M376" s="2">
        <v>44834.414097222223</v>
      </c>
      <c r="N376">
        <v>2022</v>
      </c>
    </row>
    <row r="377" spans="1:14" x14ac:dyDescent="0.25">
      <c r="A377" s="1" t="s">
        <v>220</v>
      </c>
      <c r="B377" s="1" t="s">
        <v>71</v>
      </c>
      <c r="C377" t="s">
        <v>71</v>
      </c>
      <c r="D377" s="1" t="s">
        <v>70</v>
      </c>
      <c r="E377" s="1" t="s">
        <v>72</v>
      </c>
      <c r="F377">
        <v>1998</v>
      </c>
      <c r="G377">
        <v>228026</v>
      </c>
      <c r="H377" t="s">
        <v>1262</v>
      </c>
      <c r="I377" t="s">
        <v>870</v>
      </c>
      <c r="J377">
        <v>35</v>
      </c>
      <c r="K377" t="s">
        <v>877</v>
      </c>
      <c r="L377" t="b">
        <v>0</v>
      </c>
      <c r="M377" s="2">
        <v>44834.414097222223</v>
      </c>
      <c r="N377">
        <v>2022</v>
      </c>
    </row>
    <row r="378" spans="1:14" x14ac:dyDescent="0.25">
      <c r="A378" s="1" t="s">
        <v>221</v>
      </c>
      <c r="B378" s="1" t="s">
        <v>38</v>
      </c>
      <c r="C378" t="s">
        <v>38</v>
      </c>
      <c r="D378" s="1" t="s">
        <v>135</v>
      </c>
      <c r="E378" s="1" t="s">
        <v>136</v>
      </c>
      <c r="F378">
        <v>2011</v>
      </c>
      <c r="G378">
        <v>238000</v>
      </c>
      <c r="H378" t="s">
        <v>1263</v>
      </c>
      <c r="I378" t="s">
        <v>870</v>
      </c>
      <c r="J378">
        <v>45</v>
      </c>
      <c r="K378" t="s">
        <v>879</v>
      </c>
      <c r="L378" t="b">
        <v>0</v>
      </c>
      <c r="M378" s="2">
        <v>44834.414097222223</v>
      </c>
      <c r="N378">
        <v>2022</v>
      </c>
    </row>
    <row r="379" spans="1:14" x14ac:dyDescent="0.25">
      <c r="A379" s="1" t="s">
        <v>222</v>
      </c>
      <c r="B379" s="1" t="s">
        <v>64</v>
      </c>
      <c r="C379" t="s">
        <v>64</v>
      </c>
      <c r="D379" s="1" t="s">
        <v>169</v>
      </c>
      <c r="E379" s="1" t="s">
        <v>170</v>
      </c>
      <c r="F379">
        <v>2014</v>
      </c>
      <c r="G379">
        <v>250866</v>
      </c>
      <c r="H379" t="s">
        <v>1264</v>
      </c>
      <c r="I379" t="s">
        <v>868</v>
      </c>
      <c r="J379">
        <v>55</v>
      </c>
      <c r="K379" t="s">
        <v>879</v>
      </c>
      <c r="L379" t="b">
        <v>0</v>
      </c>
      <c r="M379" s="2">
        <v>44834.414097222223</v>
      </c>
      <c r="N379">
        <v>2022</v>
      </c>
    </row>
    <row r="380" spans="1:14" x14ac:dyDescent="0.25">
      <c r="A380" s="1" t="s">
        <v>223</v>
      </c>
      <c r="B380" s="1" t="s">
        <v>16</v>
      </c>
      <c r="C380" t="s">
        <v>16</v>
      </c>
      <c r="D380" s="1" t="s">
        <v>224</v>
      </c>
      <c r="E380" s="1" t="s">
        <v>225</v>
      </c>
      <c r="F380">
        <v>2004</v>
      </c>
      <c r="G380">
        <v>275280</v>
      </c>
      <c r="H380" t="s">
        <v>1265</v>
      </c>
      <c r="I380" t="s">
        <v>868</v>
      </c>
      <c r="J380">
        <v>65</v>
      </c>
      <c r="K380" t="s">
        <v>876</v>
      </c>
      <c r="L380" t="b">
        <v>0</v>
      </c>
      <c r="M380" s="2">
        <v>44834.414097222223</v>
      </c>
      <c r="N380">
        <v>2022</v>
      </c>
    </row>
    <row r="381" spans="1:14" x14ac:dyDescent="0.25">
      <c r="A381" s="1" t="s">
        <v>226</v>
      </c>
      <c r="B381" s="1" t="s">
        <v>227</v>
      </c>
      <c r="C381" t="s">
        <v>26</v>
      </c>
      <c r="D381" s="1" t="s">
        <v>226</v>
      </c>
      <c r="E381" s="1" t="s">
        <v>228</v>
      </c>
      <c r="F381">
        <v>2021</v>
      </c>
      <c r="G381">
        <v>228783</v>
      </c>
      <c r="H381" t="s">
        <v>1266</v>
      </c>
      <c r="I381" t="s">
        <v>870</v>
      </c>
      <c r="J381">
        <v>57</v>
      </c>
      <c r="K381" t="s">
        <v>879</v>
      </c>
      <c r="L381" t="b">
        <v>0</v>
      </c>
      <c r="M381" s="2">
        <v>44834.414097222223</v>
      </c>
      <c r="N381">
        <v>2022</v>
      </c>
    </row>
    <row r="382" spans="1:14" x14ac:dyDescent="0.25">
      <c r="A382" s="1" t="s">
        <v>229</v>
      </c>
      <c r="B382" s="1" t="s">
        <v>38</v>
      </c>
      <c r="C382" t="s">
        <v>38</v>
      </c>
      <c r="D382" s="1" t="s">
        <v>39</v>
      </c>
      <c r="E382" s="1" t="s">
        <v>40</v>
      </c>
      <c r="F382">
        <v>2015</v>
      </c>
      <c r="G382">
        <v>230346</v>
      </c>
      <c r="H382" t="s">
        <v>1267</v>
      </c>
      <c r="I382" t="s">
        <v>870</v>
      </c>
      <c r="J382">
        <v>60</v>
      </c>
      <c r="K382" t="s">
        <v>879</v>
      </c>
      <c r="L382" t="b">
        <v>0</v>
      </c>
      <c r="M382" s="2">
        <v>44834.414097222223</v>
      </c>
      <c r="N382">
        <v>2022</v>
      </c>
    </row>
    <row r="383" spans="1:14" x14ac:dyDescent="0.25">
      <c r="A383" s="1" t="s">
        <v>230</v>
      </c>
      <c r="B383" s="1" t="s">
        <v>71</v>
      </c>
      <c r="C383" t="s">
        <v>71</v>
      </c>
      <c r="D383" s="1" t="s">
        <v>231</v>
      </c>
      <c r="E383" s="1" t="s">
        <v>232</v>
      </c>
      <c r="F383">
        <v>2019</v>
      </c>
      <c r="G383">
        <v>259613</v>
      </c>
      <c r="H383" t="s">
        <v>1268</v>
      </c>
      <c r="I383" t="s">
        <v>868</v>
      </c>
      <c r="J383">
        <v>70</v>
      </c>
      <c r="K383" t="s">
        <v>876</v>
      </c>
      <c r="L383" t="b">
        <v>0</v>
      </c>
      <c r="M383" s="2">
        <v>44834.414097222223</v>
      </c>
      <c r="N383">
        <v>2022</v>
      </c>
    </row>
    <row r="384" spans="1:14" x14ac:dyDescent="0.25">
      <c r="A384" s="1" t="s">
        <v>233</v>
      </c>
      <c r="B384" s="1" t="s">
        <v>71</v>
      </c>
      <c r="C384" t="s">
        <v>71</v>
      </c>
      <c r="D384" s="1" t="s">
        <v>70</v>
      </c>
      <c r="E384" s="1" t="s">
        <v>234</v>
      </c>
      <c r="F384">
        <v>1998</v>
      </c>
      <c r="G384">
        <v>189693</v>
      </c>
      <c r="H384" t="s">
        <v>1269</v>
      </c>
      <c r="I384" t="s">
        <v>870</v>
      </c>
      <c r="J384">
        <v>0</v>
      </c>
      <c r="K384" t="s">
        <v>878</v>
      </c>
      <c r="L384" t="b">
        <v>0</v>
      </c>
      <c r="M384" s="2">
        <v>44834.414097222223</v>
      </c>
      <c r="N384">
        <v>2022</v>
      </c>
    </row>
    <row r="385" spans="1:14" x14ac:dyDescent="0.25">
      <c r="A385" s="1" t="s">
        <v>235</v>
      </c>
      <c r="B385" s="1" t="s">
        <v>109</v>
      </c>
      <c r="C385" t="s">
        <v>109</v>
      </c>
      <c r="D385" s="1" t="s">
        <v>236</v>
      </c>
      <c r="E385" s="1" t="s">
        <v>237</v>
      </c>
      <c r="F385">
        <v>2016</v>
      </c>
      <c r="G385">
        <v>184133</v>
      </c>
      <c r="H385" t="s">
        <v>1270</v>
      </c>
      <c r="I385" t="s">
        <v>870</v>
      </c>
      <c r="J385">
        <v>31</v>
      </c>
      <c r="K385" t="s">
        <v>877</v>
      </c>
      <c r="L385" t="b">
        <v>0</v>
      </c>
      <c r="M385" s="2">
        <v>44834.414097222223</v>
      </c>
      <c r="N385">
        <v>2022</v>
      </c>
    </row>
    <row r="386" spans="1:14" x14ac:dyDescent="0.25">
      <c r="A386" s="1" t="s">
        <v>238</v>
      </c>
      <c r="B386" s="1" t="s">
        <v>239</v>
      </c>
      <c r="C386" t="s">
        <v>12</v>
      </c>
      <c r="D386" s="1" t="s">
        <v>240</v>
      </c>
      <c r="E386" s="1" t="s">
        <v>241</v>
      </c>
      <c r="F386">
        <v>2012</v>
      </c>
      <c r="G386">
        <v>219400</v>
      </c>
      <c r="H386" t="s">
        <v>1271</v>
      </c>
      <c r="I386" t="s">
        <v>870</v>
      </c>
      <c r="J386">
        <v>54</v>
      </c>
      <c r="K386" t="s">
        <v>879</v>
      </c>
      <c r="L386" t="b">
        <v>0</v>
      </c>
      <c r="M386" s="2">
        <v>44834.414097222223</v>
      </c>
      <c r="N386">
        <v>2022</v>
      </c>
    </row>
    <row r="387" spans="1:14" x14ac:dyDescent="0.25">
      <c r="A387" s="1" t="s">
        <v>242</v>
      </c>
      <c r="B387" s="1" t="s">
        <v>71</v>
      </c>
      <c r="C387" t="s">
        <v>71</v>
      </c>
      <c r="D387" s="1" t="s">
        <v>231</v>
      </c>
      <c r="E387" s="1" t="s">
        <v>232</v>
      </c>
      <c r="F387">
        <v>2019</v>
      </c>
      <c r="G387">
        <v>235120</v>
      </c>
      <c r="H387" t="s">
        <v>1272</v>
      </c>
      <c r="I387" t="s">
        <v>870</v>
      </c>
      <c r="J387">
        <v>26</v>
      </c>
      <c r="K387" t="s">
        <v>877</v>
      </c>
      <c r="L387" t="b">
        <v>0</v>
      </c>
      <c r="M387" s="2">
        <v>44834.414097222223</v>
      </c>
      <c r="N387">
        <v>2022</v>
      </c>
    </row>
    <row r="388" spans="1:14" x14ac:dyDescent="0.25">
      <c r="A388" s="1" t="s">
        <v>243</v>
      </c>
      <c r="B388" s="1" t="s">
        <v>12</v>
      </c>
      <c r="C388" t="s">
        <v>12</v>
      </c>
      <c r="D388" s="1" t="s">
        <v>244</v>
      </c>
      <c r="E388" s="1" t="s">
        <v>245</v>
      </c>
      <c r="F388">
        <v>2010</v>
      </c>
      <c r="G388">
        <v>233666</v>
      </c>
      <c r="H388" t="s">
        <v>1273</v>
      </c>
      <c r="I388" t="s">
        <v>870</v>
      </c>
      <c r="J388">
        <v>61</v>
      </c>
      <c r="K388" t="s">
        <v>876</v>
      </c>
      <c r="L388" t="b">
        <v>0</v>
      </c>
      <c r="M388" s="2">
        <v>44834.414097222223</v>
      </c>
      <c r="N388">
        <v>2022</v>
      </c>
    </row>
    <row r="389" spans="1:14" x14ac:dyDescent="0.25">
      <c r="A389" s="1" t="s">
        <v>246</v>
      </c>
      <c r="B389" s="1" t="s">
        <v>12</v>
      </c>
      <c r="C389" t="s">
        <v>12</v>
      </c>
      <c r="D389" s="1" t="s">
        <v>247</v>
      </c>
      <c r="E389" s="1" t="s">
        <v>248</v>
      </c>
      <c r="F389">
        <v>2013</v>
      </c>
      <c r="G389">
        <v>223880</v>
      </c>
      <c r="H389" t="s">
        <v>1274</v>
      </c>
      <c r="I389" t="s">
        <v>870</v>
      </c>
      <c r="J389">
        <v>39</v>
      </c>
      <c r="K389" t="s">
        <v>877</v>
      </c>
      <c r="L389" t="b">
        <v>0</v>
      </c>
      <c r="M389" s="2">
        <v>44834.414097222223</v>
      </c>
      <c r="N389">
        <v>2022</v>
      </c>
    </row>
    <row r="390" spans="1:14" x14ac:dyDescent="0.25">
      <c r="A390" s="1" t="s">
        <v>249</v>
      </c>
      <c r="B390" s="1" t="s">
        <v>12</v>
      </c>
      <c r="C390" t="s">
        <v>12</v>
      </c>
      <c r="D390" s="1" t="s">
        <v>13</v>
      </c>
      <c r="E390" s="1" t="s">
        <v>14</v>
      </c>
      <c r="F390">
        <v>2018</v>
      </c>
      <c r="G390">
        <v>214387</v>
      </c>
      <c r="H390" t="s">
        <v>1275</v>
      </c>
      <c r="I390" t="s">
        <v>870</v>
      </c>
      <c r="J390">
        <v>38</v>
      </c>
      <c r="K390" t="s">
        <v>877</v>
      </c>
      <c r="L390" t="b">
        <v>0</v>
      </c>
      <c r="M390" s="2">
        <v>44834.414097222223</v>
      </c>
      <c r="N390">
        <v>2022</v>
      </c>
    </row>
    <row r="391" spans="1:14" x14ac:dyDescent="0.25">
      <c r="A391" s="1" t="s">
        <v>250</v>
      </c>
      <c r="B391" s="1" t="s">
        <v>251</v>
      </c>
      <c r="C391" t="s">
        <v>251</v>
      </c>
      <c r="D391" s="1" t="s">
        <v>252</v>
      </c>
      <c r="E391" s="1" t="s">
        <v>253</v>
      </c>
      <c r="F391">
        <v>2014</v>
      </c>
      <c r="G391">
        <v>274213</v>
      </c>
      <c r="H391" t="s">
        <v>1276</v>
      </c>
      <c r="I391" t="s">
        <v>868</v>
      </c>
      <c r="J391">
        <v>20</v>
      </c>
      <c r="K391" t="s">
        <v>878</v>
      </c>
      <c r="L391" t="b">
        <v>0</v>
      </c>
      <c r="M391" s="2">
        <v>44834.414097222223</v>
      </c>
      <c r="N391">
        <v>2022</v>
      </c>
    </row>
    <row r="392" spans="1:14" x14ac:dyDescent="0.25">
      <c r="A392" s="1" t="s">
        <v>254</v>
      </c>
      <c r="B392" s="1" t="s">
        <v>251</v>
      </c>
      <c r="C392" t="s">
        <v>251</v>
      </c>
      <c r="D392" s="1" t="s">
        <v>255</v>
      </c>
      <c r="E392" s="1" t="s">
        <v>256</v>
      </c>
      <c r="F392">
        <v>2006</v>
      </c>
      <c r="G392">
        <v>249880</v>
      </c>
      <c r="H392" t="s">
        <v>1277</v>
      </c>
      <c r="I392" t="s">
        <v>868</v>
      </c>
      <c r="J392">
        <v>63</v>
      </c>
      <c r="K392" t="s">
        <v>876</v>
      </c>
      <c r="L392" t="b">
        <v>0</v>
      </c>
      <c r="M392" s="2">
        <v>44834.414097222223</v>
      </c>
      <c r="N392">
        <v>2022</v>
      </c>
    </row>
    <row r="393" spans="1:14" x14ac:dyDescent="0.25">
      <c r="A393" s="1" t="s">
        <v>257</v>
      </c>
      <c r="B393" s="1" t="s">
        <v>258</v>
      </c>
      <c r="C393" t="s">
        <v>38</v>
      </c>
      <c r="D393" s="1" t="s">
        <v>259</v>
      </c>
      <c r="E393" s="1" t="s">
        <v>260</v>
      </c>
      <c r="F393">
        <v>2011</v>
      </c>
      <c r="G393">
        <v>216613</v>
      </c>
      <c r="H393" t="s">
        <v>1278</v>
      </c>
      <c r="I393" t="s">
        <v>870</v>
      </c>
      <c r="J393">
        <v>64</v>
      </c>
      <c r="K393" t="s">
        <v>876</v>
      </c>
      <c r="L393" t="b">
        <v>0</v>
      </c>
      <c r="M393" s="2">
        <v>44834.414097222223</v>
      </c>
      <c r="N393">
        <v>2022</v>
      </c>
    </row>
    <row r="394" spans="1:14" x14ac:dyDescent="0.25">
      <c r="A394" s="1" t="s">
        <v>261</v>
      </c>
      <c r="B394" s="1" t="s">
        <v>71</v>
      </c>
      <c r="C394" t="s">
        <v>71</v>
      </c>
      <c r="D394" s="1" t="s">
        <v>261</v>
      </c>
      <c r="E394" s="1" t="s">
        <v>262</v>
      </c>
      <c r="F394">
        <v>2002</v>
      </c>
      <c r="G394">
        <v>251186</v>
      </c>
      <c r="H394" t="s">
        <v>1279</v>
      </c>
      <c r="I394" t="s">
        <v>868</v>
      </c>
      <c r="J394">
        <v>67</v>
      </c>
      <c r="K394" t="s">
        <v>876</v>
      </c>
      <c r="L394" t="b">
        <v>0</v>
      </c>
      <c r="M394" s="2">
        <v>44834.414097222223</v>
      </c>
      <c r="N394">
        <v>2022</v>
      </c>
    </row>
    <row r="395" spans="1:14" x14ac:dyDescent="0.25">
      <c r="A395" s="1" t="s">
        <v>263</v>
      </c>
      <c r="B395" s="1" t="s">
        <v>26</v>
      </c>
      <c r="C395" t="s">
        <v>26</v>
      </c>
      <c r="D395" s="1" t="s">
        <v>263</v>
      </c>
      <c r="E395" s="1" t="s">
        <v>264</v>
      </c>
      <c r="F395">
        <v>2021</v>
      </c>
      <c r="G395">
        <v>205452</v>
      </c>
      <c r="H395" t="s">
        <v>1280</v>
      </c>
      <c r="I395" t="s">
        <v>870</v>
      </c>
      <c r="J395">
        <v>37</v>
      </c>
      <c r="K395" t="s">
        <v>877</v>
      </c>
      <c r="L395" t="b">
        <v>0</v>
      </c>
      <c r="M395" s="2">
        <v>44834.414097222223</v>
      </c>
      <c r="N395">
        <v>2022</v>
      </c>
    </row>
    <row r="396" spans="1:14" x14ac:dyDescent="0.25">
      <c r="A396" s="1" t="s">
        <v>265</v>
      </c>
      <c r="B396" s="1" t="s">
        <v>266</v>
      </c>
      <c r="C396" t="s">
        <v>883</v>
      </c>
      <c r="D396" s="1" t="s">
        <v>267</v>
      </c>
      <c r="E396" s="1" t="s">
        <v>228</v>
      </c>
      <c r="F396">
        <v>2021</v>
      </c>
      <c r="G396">
        <v>175853</v>
      </c>
      <c r="H396" t="s">
        <v>1281</v>
      </c>
      <c r="I396" t="s">
        <v>869</v>
      </c>
      <c r="J396">
        <v>0</v>
      </c>
      <c r="K396" t="s">
        <v>878</v>
      </c>
      <c r="L396" t="b">
        <v>0</v>
      </c>
      <c r="M396" s="2">
        <v>44834.414097222223</v>
      </c>
      <c r="N396">
        <v>2022</v>
      </c>
    </row>
    <row r="397" spans="1:14" x14ac:dyDescent="0.25">
      <c r="A397" s="1" t="s">
        <v>268</v>
      </c>
      <c r="B397" s="1" t="s">
        <v>122</v>
      </c>
      <c r="C397" t="s">
        <v>122</v>
      </c>
      <c r="D397" s="1" t="s">
        <v>123</v>
      </c>
      <c r="E397" s="1" t="s">
        <v>124</v>
      </c>
      <c r="F397">
        <v>2001</v>
      </c>
      <c r="G397">
        <v>279040</v>
      </c>
      <c r="H397" t="s">
        <v>1282</v>
      </c>
      <c r="I397" t="s">
        <v>868</v>
      </c>
      <c r="J397">
        <v>49</v>
      </c>
      <c r="K397" t="s">
        <v>879</v>
      </c>
      <c r="L397" t="b">
        <v>0</v>
      </c>
      <c r="M397" s="2">
        <v>44834.414097222223</v>
      </c>
      <c r="N397">
        <v>2022</v>
      </c>
    </row>
    <row r="398" spans="1:14" x14ac:dyDescent="0.25">
      <c r="A398" s="1" t="s">
        <v>269</v>
      </c>
      <c r="B398" s="1" t="s">
        <v>12</v>
      </c>
      <c r="C398" t="s">
        <v>12</v>
      </c>
      <c r="D398" s="1" t="s">
        <v>269</v>
      </c>
      <c r="E398" s="1" t="s">
        <v>270</v>
      </c>
      <c r="F398">
        <v>1998</v>
      </c>
      <c r="G398">
        <v>287626</v>
      </c>
      <c r="H398" t="s">
        <v>1283</v>
      </c>
      <c r="I398" t="s">
        <v>868</v>
      </c>
      <c r="J398">
        <v>50</v>
      </c>
      <c r="K398" t="s">
        <v>879</v>
      </c>
      <c r="L398" t="b">
        <v>0</v>
      </c>
      <c r="M398" s="2">
        <v>44834.414097222223</v>
      </c>
      <c r="N398">
        <v>2022</v>
      </c>
    </row>
    <row r="399" spans="1:14" x14ac:dyDescent="0.25">
      <c r="A399" s="1" t="s">
        <v>271</v>
      </c>
      <c r="B399" s="1" t="s">
        <v>12</v>
      </c>
      <c r="C399" t="s">
        <v>12</v>
      </c>
      <c r="D399" s="1" t="s">
        <v>272</v>
      </c>
      <c r="E399" s="1" t="s">
        <v>273</v>
      </c>
      <c r="F399">
        <v>2021</v>
      </c>
      <c r="G399">
        <v>207016</v>
      </c>
      <c r="H399" t="s">
        <v>1284</v>
      </c>
      <c r="I399" t="s">
        <v>870</v>
      </c>
      <c r="J399">
        <v>37</v>
      </c>
      <c r="K399" t="s">
        <v>877</v>
      </c>
      <c r="L399" t="b">
        <v>0</v>
      </c>
      <c r="M399" s="2">
        <v>44834.414097222223</v>
      </c>
      <c r="N399">
        <v>2022</v>
      </c>
    </row>
    <row r="400" spans="1:14" x14ac:dyDescent="0.25">
      <c r="A400" s="1" t="s">
        <v>274</v>
      </c>
      <c r="B400" s="1" t="s">
        <v>275</v>
      </c>
      <c r="C400" t="s">
        <v>16</v>
      </c>
      <c r="D400" s="1" t="s">
        <v>274</v>
      </c>
      <c r="E400" s="1" t="s">
        <v>276</v>
      </c>
      <c r="F400">
        <v>2021</v>
      </c>
      <c r="G400">
        <v>145922</v>
      </c>
      <c r="H400" t="s">
        <v>1285</v>
      </c>
      <c r="I400" t="s">
        <v>869</v>
      </c>
      <c r="J400">
        <v>49</v>
      </c>
      <c r="K400" t="s">
        <v>879</v>
      </c>
      <c r="L400" t="b">
        <v>0</v>
      </c>
      <c r="M400" s="2">
        <v>44834.414097222223</v>
      </c>
      <c r="N400">
        <v>2022</v>
      </c>
    </row>
    <row r="401" spans="1:14" x14ac:dyDescent="0.25">
      <c r="A401" s="1" t="s">
        <v>277</v>
      </c>
      <c r="B401" s="1" t="s">
        <v>185</v>
      </c>
      <c r="C401" t="s">
        <v>185</v>
      </c>
      <c r="D401" s="1" t="s">
        <v>185</v>
      </c>
      <c r="E401" s="1" t="s">
        <v>186</v>
      </c>
      <c r="F401">
        <v>2005</v>
      </c>
      <c r="G401">
        <v>203226</v>
      </c>
      <c r="H401" t="s">
        <v>1286</v>
      </c>
      <c r="I401" t="s">
        <v>870</v>
      </c>
      <c r="J401">
        <v>74</v>
      </c>
      <c r="K401" t="s">
        <v>876</v>
      </c>
      <c r="L401" t="b">
        <v>0</v>
      </c>
      <c r="M401" s="2">
        <v>44834.414097222223</v>
      </c>
      <c r="N401">
        <v>2022</v>
      </c>
    </row>
    <row r="402" spans="1:14" x14ac:dyDescent="0.25">
      <c r="A402" s="1" t="s">
        <v>278</v>
      </c>
      <c r="B402" s="1" t="s">
        <v>16</v>
      </c>
      <c r="C402" t="s">
        <v>16</v>
      </c>
      <c r="D402" s="1" t="s">
        <v>278</v>
      </c>
      <c r="E402" s="1" t="s">
        <v>279</v>
      </c>
      <c r="F402">
        <v>2020</v>
      </c>
      <c r="G402">
        <v>172146</v>
      </c>
      <c r="H402" t="s">
        <v>1287</v>
      </c>
      <c r="I402" t="s">
        <v>869</v>
      </c>
      <c r="J402">
        <v>43</v>
      </c>
      <c r="K402" t="s">
        <v>879</v>
      </c>
      <c r="L402" t="b">
        <v>0</v>
      </c>
      <c r="M402" s="2">
        <v>44834.414097222223</v>
      </c>
      <c r="N402">
        <v>2022</v>
      </c>
    </row>
    <row r="403" spans="1:14" x14ac:dyDescent="0.25">
      <c r="A403" s="1" t="s">
        <v>280</v>
      </c>
      <c r="B403" s="1" t="s">
        <v>12</v>
      </c>
      <c r="C403" t="s">
        <v>12</v>
      </c>
      <c r="D403" s="1" t="s">
        <v>280</v>
      </c>
      <c r="E403" s="1" t="s">
        <v>281</v>
      </c>
      <c r="F403">
        <v>2021</v>
      </c>
      <c r="G403">
        <v>232992</v>
      </c>
      <c r="H403" t="s">
        <v>1288</v>
      </c>
      <c r="I403" t="s">
        <v>870</v>
      </c>
      <c r="J403">
        <v>20</v>
      </c>
      <c r="K403" t="s">
        <v>878</v>
      </c>
      <c r="L403" t="b">
        <v>0</v>
      </c>
      <c r="M403" s="2">
        <v>44834.414097222223</v>
      </c>
      <c r="N403">
        <v>2022</v>
      </c>
    </row>
    <row r="404" spans="1:14" x14ac:dyDescent="0.25">
      <c r="A404" s="1" t="s">
        <v>282</v>
      </c>
      <c r="B404" s="1" t="s">
        <v>251</v>
      </c>
      <c r="C404" t="s">
        <v>251</v>
      </c>
      <c r="D404" s="1" t="s">
        <v>283</v>
      </c>
      <c r="E404" s="1" t="s">
        <v>284</v>
      </c>
      <c r="F404">
        <v>2005</v>
      </c>
      <c r="G404">
        <v>239826</v>
      </c>
      <c r="H404" t="s">
        <v>1289</v>
      </c>
      <c r="I404" t="s">
        <v>870</v>
      </c>
      <c r="J404">
        <v>60</v>
      </c>
      <c r="K404" t="s">
        <v>879</v>
      </c>
      <c r="L404" t="b">
        <v>0</v>
      </c>
      <c r="M404" s="2">
        <v>44834.414097222223</v>
      </c>
      <c r="N404">
        <v>2022</v>
      </c>
    </row>
    <row r="405" spans="1:14" x14ac:dyDescent="0.25">
      <c r="A405" s="1" t="s">
        <v>285</v>
      </c>
      <c r="B405" s="1" t="s">
        <v>286</v>
      </c>
      <c r="C405" t="s">
        <v>16</v>
      </c>
      <c r="D405" s="1" t="s">
        <v>17</v>
      </c>
      <c r="E405" s="1" t="s">
        <v>18</v>
      </c>
      <c r="F405">
        <v>2021</v>
      </c>
      <c r="G405">
        <v>206826</v>
      </c>
      <c r="H405" t="s">
        <v>1290</v>
      </c>
      <c r="I405" t="s">
        <v>870</v>
      </c>
      <c r="J405">
        <v>19</v>
      </c>
      <c r="K405" t="s">
        <v>878</v>
      </c>
      <c r="L405" t="b">
        <v>0</v>
      </c>
      <c r="M405" s="2">
        <v>44834.414097222223</v>
      </c>
      <c r="N405">
        <v>2022</v>
      </c>
    </row>
    <row r="406" spans="1:14" x14ac:dyDescent="0.25">
      <c r="A406" s="1" t="s">
        <v>287</v>
      </c>
      <c r="B406" s="1" t="s">
        <v>288</v>
      </c>
      <c r="C406" t="s">
        <v>26</v>
      </c>
      <c r="D406" s="1" t="s">
        <v>289</v>
      </c>
      <c r="E406" s="1" t="s">
        <v>290</v>
      </c>
      <c r="F406">
        <v>2017</v>
      </c>
      <c r="G406">
        <v>250000</v>
      </c>
      <c r="H406" t="s">
        <v>1291</v>
      </c>
      <c r="I406" t="s">
        <v>868</v>
      </c>
      <c r="J406">
        <v>0</v>
      </c>
      <c r="K406" t="s">
        <v>878</v>
      </c>
      <c r="L406" t="b">
        <v>0</v>
      </c>
      <c r="M406" s="2">
        <v>44834.414097222223</v>
      </c>
      <c r="N406">
        <v>2022</v>
      </c>
    </row>
    <row r="407" spans="1:14" x14ac:dyDescent="0.25">
      <c r="A407" s="1" t="s">
        <v>291</v>
      </c>
      <c r="B407" s="1" t="s">
        <v>251</v>
      </c>
      <c r="C407" t="s">
        <v>251</v>
      </c>
      <c r="D407" s="1" t="s">
        <v>291</v>
      </c>
      <c r="E407" s="1" t="s">
        <v>292</v>
      </c>
      <c r="F407">
        <v>2021</v>
      </c>
      <c r="G407">
        <v>167040</v>
      </c>
      <c r="H407" t="s">
        <v>1292</v>
      </c>
      <c r="I407" t="s">
        <v>869</v>
      </c>
      <c r="J407">
        <v>36</v>
      </c>
      <c r="K407" t="s">
        <v>877</v>
      </c>
      <c r="L407" t="b">
        <v>0</v>
      </c>
      <c r="M407" s="2">
        <v>44834.414097222223</v>
      </c>
      <c r="N407">
        <v>2022</v>
      </c>
    </row>
    <row r="408" spans="1:14" x14ac:dyDescent="0.25">
      <c r="A408" s="1" t="s">
        <v>293</v>
      </c>
      <c r="B408" s="1" t="s">
        <v>294</v>
      </c>
      <c r="C408" t="s">
        <v>884</v>
      </c>
      <c r="D408" s="1" t="s">
        <v>293</v>
      </c>
      <c r="E408" s="1" t="s">
        <v>295</v>
      </c>
      <c r="F408">
        <v>2022</v>
      </c>
      <c r="G408">
        <v>194824</v>
      </c>
      <c r="H408" t="s">
        <v>1293</v>
      </c>
      <c r="I408" t="s">
        <v>870</v>
      </c>
      <c r="J408">
        <v>57</v>
      </c>
      <c r="K408" t="s">
        <v>879</v>
      </c>
      <c r="L408" t="b">
        <v>0</v>
      </c>
      <c r="M408" s="2">
        <v>44834.414097222223</v>
      </c>
      <c r="N408">
        <v>2022</v>
      </c>
    </row>
    <row r="409" spans="1:14" x14ac:dyDescent="0.25">
      <c r="A409" s="1" t="s">
        <v>296</v>
      </c>
      <c r="B409" s="1" t="s">
        <v>57</v>
      </c>
      <c r="C409" t="s">
        <v>57</v>
      </c>
      <c r="D409" s="1" t="s">
        <v>102</v>
      </c>
      <c r="E409" s="1" t="s">
        <v>103</v>
      </c>
      <c r="F409">
        <v>2011</v>
      </c>
      <c r="G409">
        <v>286786</v>
      </c>
      <c r="H409" t="s">
        <v>1294</v>
      </c>
      <c r="I409" t="s">
        <v>868</v>
      </c>
      <c r="J409">
        <v>0</v>
      </c>
      <c r="K409" t="s">
        <v>878</v>
      </c>
      <c r="L409" t="b">
        <v>0</v>
      </c>
      <c r="M409" s="2">
        <v>44834.414097222223</v>
      </c>
      <c r="N409">
        <v>2022</v>
      </c>
    </row>
    <row r="410" spans="1:14" x14ac:dyDescent="0.25">
      <c r="A410" s="1" t="s">
        <v>297</v>
      </c>
      <c r="B410" s="1" t="s">
        <v>298</v>
      </c>
      <c r="C410" t="s">
        <v>316</v>
      </c>
      <c r="D410" s="1" t="s">
        <v>299</v>
      </c>
      <c r="E410" s="1" t="s">
        <v>300</v>
      </c>
      <c r="F410">
        <v>2021</v>
      </c>
      <c r="G410">
        <v>226804</v>
      </c>
      <c r="H410" t="s">
        <v>1295</v>
      </c>
      <c r="I410" t="s">
        <v>870</v>
      </c>
      <c r="J410">
        <v>36</v>
      </c>
      <c r="K410" t="s">
        <v>877</v>
      </c>
      <c r="L410" t="b">
        <v>0</v>
      </c>
      <c r="M410" s="2">
        <v>44834.414097222223</v>
      </c>
      <c r="N410">
        <v>2022</v>
      </c>
    </row>
    <row r="411" spans="1:14" x14ac:dyDescent="0.25">
      <c r="A411" s="1" t="s">
        <v>301</v>
      </c>
      <c r="B411" s="1" t="s">
        <v>16</v>
      </c>
      <c r="C411" t="s">
        <v>16</v>
      </c>
      <c r="D411" s="1" t="s">
        <v>302</v>
      </c>
      <c r="E411" s="1" t="s">
        <v>133</v>
      </c>
      <c r="F411">
        <v>2006</v>
      </c>
      <c r="G411">
        <v>225693</v>
      </c>
      <c r="H411" t="s">
        <v>1296</v>
      </c>
      <c r="I411" t="s">
        <v>870</v>
      </c>
      <c r="J411">
        <v>44</v>
      </c>
      <c r="K411" t="s">
        <v>879</v>
      </c>
      <c r="L411" t="b">
        <v>0</v>
      </c>
      <c r="M411" s="2">
        <v>44834.414097222223</v>
      </c>
      <c r="N411">
        <v>2022</v>
      </c>
    </row>
    <row r="412" spans="1:14" x14ac:dyDescent="0.25">
      <c r="A412" s="1" t="s">
        <v>303</v>
      </c>
      <c r="B412" s="1" t="s">
        <v>105</v>
      </c>
      <c r="C412" t="s">
        <v>105</v>
      </c>
      <c r="D412" s="1" t="s">
        <v>304</v>
      </c>
      <c r="E412" s="1" t="s">
        <v>305</v>
      </c>
      <c r="F412">
        <v>2009</v>
      </c>
      <c r="G412">
        <v>240240</v>
      </c>
      <c r="H412" t="s">
        <v>1297</v>
      </c>
      <c r="I412" t="s">
        <v>868</v>
      </c>
      <c r="J412">
        <v>68</v>
      </c>
      <c r="K412" t="s">
        <v>876</v>
      </c>
      <c r="L412" t="b">
        <v>0</v>
      </c>
      <c r="M412" s="2">
        <v>44834.414097222223</v>
      </c>
      <c r="N412">
        <v>2022</v>
      </c>
    </row>
    <row r="413" spans="1:14" x14ac:dyDescent="0.25">
      <c r="A413" s="1" t="s">
        <v>306</v>
      </c>
      <c r="B413" s="1" t="s">
        <v>307</v>
      </c>
      <c r="C413" t="s">
        <v>307</v>
      </c>
      <c r="D413" s="1" t="s">
        <v>308</v>
      </c>
      <c r="E413" s="1" t="s">
        <v>309</v>
      </c>
      <c r="F413">
        <v>2015</v>
      </c>
      <c r="G413">
        <v>244466</v>
      </c>
      <c r="H413" t="s">
        <v>1298</v>
      </c>
      <c r="I413" t="s">
        <v>868</v>
      </c>
      <c r="J413">
        <v>31</v>
      </c>
      <c r="K413" t="s">
        <v>877</v>
      </c>
      <c r="L413" t="b">
        <v>0</v>
      </c>
      <c r="M413" s="2">
        <v>44834.414097222223</v>
      </c>
      <c r="N413">
        <v>2022</v>
      </c>
    </row>
    <row r="414" spans="1:14" x14ac:dyDescent="0.25">
      <c r="A414" s="1" t="s">
        <v>310</v>
      </c>
      <c r="B414" s="1" t="s">
        <v>71</v>
      </c>
      <c r="C414" t="s">
        <v>71</v>
      </c>
      <c r="D414" s="1" t="s">
        <v>71</v>
      </c>
      <c r="E414" s="1" t="s">
        <v>139</v>
      </c>
      <c r="F414">
        <v>1995</v>
      </c>
      <c r="G414">
        <v>261000</v>
      </c>
      <c r="H414" t="s">
        <v>1299</v>
      </c>
      <c r="I414" t="s">
        <v>868</v>
      </c>
      <c r="J414">
        <v>61</v>
      </c>
      <c r="K414" t="s">
        <v>876</v>
      </c>
      <c r="L414" t="b">
        <v>0</v>
      </c>
      <c r="M414" s="2">
        <v>44834.414097222223</v>
      </c>
      <c r="N414">
        <v>2022</v>
      </c>
    </row>
    <row r="415" spans="1:14" x14ac:dyDescent="0.25">
      <c r="A415" s="1" t="s">
        <v>311</v>
      </c>
      <c r="B415" s="1" t="s">
        <v>312</v>
      </c>
      <c r="C415" t="s">
        <v>312</v>
      </c>
      <c r="D415" s="1" t="s">
        <v>313</v>
      </c>
      <c r="E415" s="1" t="s">
        <v>314</v>
      </c>
      <c r="F415">
        <v>2015</v>
      </c>
      <c r="G415">
        <v>249333</v>
      </c>
      <c r="H415" t="s">
        <v>1300</v>
      </c>
      <c r="I415" t="s">
        <v>868</v>
      </c>
      <c r="J415">
        <v>52</v>
      </c>
      <c r="K415" t="s">
        <v>879</v>
      </c>
      <c r="L415" t="b">
        <v>0</v>
      </c>
      <c r="M415" s="2">
        <v>44834.414097222223</v>
      </c>
      <c r="N415">
        <v>2022</v>
      </c>
    </row>
    <row r="416" spans="1:14" x14ac:dyDescent="0.25">
      <c r="A416" s="1" t="s">
        <v>315</v>
      </c>
      <c r="B416" s="1" t="s">
        <v>316</v>
      </c>
      <c r="C416" t="s">
        <v>316</v>
      </c>
      <c r="D416" s="1" t="s">
        <v>317</v>
      </c>
      <c r="E416" s="1" t="s">
        <v>318</v>
      </c>
      <c r="F416">
        <v>2015</v>
      </c>
      <c r="G416">
        <v>281821</v>
      </c>
      <c r="H416" t="s">
        <v>1301</v>
      </c>
      <c r="I416" t="s">
        <v>868</v>
      </c>
      <c r="J416">
        <v>48</v>
      </c>
      <c r="K416" t="s">
        <v>879</v>
      </c>
      <c r="L416" t="b">
        <v>0</v>
      </c>
      <c r="M416" s="2">
        <v>44834.414097222223</v>
      </c>
      <c r="N416">
        <v>2022</v>
      </c>
    </row>
    <row r="417" spans="1:14" x14ac:dyDescent="0.25">
      <c r="A417" s="1" t="s">
        <v>319</v>
      </c>
      <c r="B417" s="1" t="s">
        <v>12</v>
      </c>
      <c r="C417" t="s">
        <v>12</v>
      </c>
      <c r="D417" s="1" t="s">
        <v>320</v>
      </c>
      <c r="E417" s="1" t="s">
        <v>321</v>
      </c>
      <c r="F417">
        <v>2001</v>
      </c>
      <c r="G417">
        <v>202800</v>
      </c>
      <c r="H417" t="s">
        <v>1302</v>
      </c>
      <c r="I417" t="s">
        <v>870</v>
      </c>
      <c r="J417">
        <v>42</v>
      </c>
      <c r="K417" t="s">
        <v>879</v>
      </c>
      <c r="L417" t="b">
        <v>0</v>
      </c>
      <c r="M417" s="2">
        <v>44834.414097222223</v>
      </c>
      <c r="N417">
        <v>2022</v>
      </c>
    </row>
    <row r="418" spans="1:14" x14ac:dyDescent="0.25">
      <c r="A418" s="1" t="s">
        <v>322</v>
      </c>
      <c r="B418" s="1" t="s">
        <v>323</v>
      </c>
      <c r="C418" t="s">
        <v>12</v>
      </c>
      <c r="D418" s="1" t="s">
        <v>240</v>
      </c>
      <c r="E418" s="1" t="s">
        <v>241</v>
      </c>
      <c r="F418">
        <v>2012</v>
      </c>
      <c r="G418">
        <v>216053</v>
      </c>
      <c r="H418" t="s">
        <v>1303</v>
      </c>
      <c r="I418" t="s">
        <v>870</v>
      </c>
      <c r="J418">
        <v>41</v>
      </c>
      <c r="K418" t="s">
        <v>879</v>
      </c>
      <c r="L418" t="b">
        <v>0</v>
      </c>
      <c r="M418" s="2">
        <v>44834.414097222223</v>
      </c>
      <c r="N418">
        <v>2022</v>
      </c>
    </row>
    <row r="419" spans="1:14" x14ac:dyDescent="0.25">
      <c r="A419" s="1" t="s">
        <v>324</v>
      </c>
      <c r="B419" s="1" t="s">
        <v>71</v>
      </c>
      <c r="C419" t="s">
        <v>71</v>
      </c>
      <c r="D419" s="1" t="s">
        <v>325</v>
      </c>
      <c r="E419" s="1" t="s">
        <v>326</v>
      </c>
      <c r="F419">
        <v>2001</v>
      </c>
      <c r="G419">
        <v>207800</v>
      </c>
      <c r="H419" t="s">
        <v>1304</v>
      </c>
      <c r="I419" t="s">
        <v>870</v>
      </c>
      <c r="J419">
        <v>59</v>
      </c>
      <c r="K419" t="s">
        <v>879</v>
      </c>
      <c r="L419" t="b">
        <v>0</v>
      </c>
      <c r="M419" s="2">
        <v>44834.414097222223</v>
      </c>
      <c r="N419">
        <v>2022</v>
      </c>
    </row>
    <row r="420" spans="1:14" x14ac:dyDescent="0.25">
      <c r="A420" s="1" t="s">
        <v>327</v>
      </c>
      <c r="B420" s="1" t="s">
        <v>16</v>
      </c>
      <c r="C420" t="s">
        <v>16</v>
      </c>
      <c r="D420" s="1" t="s">
        <v>328</v>
      </c>
      <c r="E420" s="1" t="s">
        <v>329</v>
      </c>
      <c r="F420">
        <v>2010</v>
      </c>
      <c r="G420">
        <v>211173</v>
      </c>
      <c r="H420" t="s">
        <v>1305</v>
      </c>
      <c r="I420" t="s">
        <v>870</v>
      </c>
      <c r="J420">
        <v>7</v>
      </c>
      <c r="K420" t="s">
        <v>878</v>
      </c>
      <c r="L420" t="b">
        <v>0</v>
      </c>
      <c r="M420" s="2">
        <v>44834.414097222223</v>
      </c>
      <c r="N420">
        <v>2022</v>
      </c>
    </row>
    <row r="421" spans="1:14" x14ac:dyDescent="0.25">
      <c r="A421" s="1" t="s">
        <v>330</v>
      </c>
      <c r="B421" s="1" t="s">
        <v>331</v>
      </c>
      <c r="C421" t="s">
        <v>331</v>
      </c>
      <c r="D421" s="1" t="s">
        <v>231</v>
      </c>
      <c r="E421" s="1" t="s">
        <v>127</v>
      </c>
      <c r="F421">
        <v>2005</v>
      </c>
      <c r="G421">
        <v>266240</v>
      </c>
      <c r="H421" t="s">
        <v>1306</v>
      </c>
      <c r="I421" t="s">
        <v>868</v>
      </c>
      <c r="J421">
        <v>55</v>
      </c>
      <c r="K421" t="s">
        <v>879</v>
      </c>
      <c r="L421" t="b">
        <v>0</v>
      </c>
      <c r="M421" s="2">
        <v>44834.414097222223</v>
      </c>
      <c r="N421">
        <v>2022</v>
      </c>
    </row>
    <row r="422" spans="1:14" x14ac:dyDescent="0.25">
      <c r="A422" s="1" t="s">
        <v>332</v>
      </c>
      <c r="B422" s="1" t="s">
        <v>57</v>
      </c>
      <c r="C422" t="s">
        <v>57</v>
      </c>
      <c r="D422" s="1" t="s">
        <v>333</v>
      </c>
      <c r="E422" s="1" t="s">
        <v>334</v>
      </c>
      <c r="F422">
        <v>2008</v>
      </c>
      <c r="G422">
        <v>210400</v>
      </c>
      <c r="H422" t="s">
        <v>1307</v>
      </c>
      <c r="I422" t="s">
        <v>870</v>
      </c>
      <c r="J422">
        <v>1</v>
      </c>
      <c r="K422" t="s">
        <v>878</v>
      </c>
      <c r="L422" t="b">
        <v>0</v>
      </c>
      <c r="M422" s="2">
        <v>44834.414097222223</v>
      </c>
      <c r="N422">
        <v>2022</v>
      </c>
    </row>
    <row r="423" spans="1:14" x14ac:dyDescent="0.25">
      <c r="A423" s="1" t="s">
        <v>335</v>
      </c>
      <c r="B423" s="1" t="s">
        <v>16</v>
      </c>
      <c r="C423" t="s">
        <v>16</v>
      </c>
      <c r="D423" s="1" t="s">
        <v>336</v>
      </c>
      <c r="E423" s="1" t="s">
        <v>305</v>
      </c>
      <c r="F423">
        <v>2009</v>
      </c>
      <c r="G423">
        <v>237373</v>
      </c>
      <c r="H423" t="s">
        <v>1233</v>
      </c>
      <c r="I423" t="s">
        <v>870</v>
      </c>
      <c r="J423">
        <v>64</v>
      </c>
      <c r="K423" t="s">
        <v>876</v>
      </c>
      <c r="L423" t="b">
        <v>0</v>
      </c>
      <c r="M423" s="2">
        <v>44834.414097222223</v>
      </c>
      <c r="N423">
        <v>2022</v>
      </c>
    </row>
    <row r="424" spans="1:14" x14ac:dyDescent="0.25">
      <c r="A424" s="1" t="s">
        <v>337</v>
      </c>
      <c r="B424" s="1" t="s">
        <v>338</v>
      </c>
      <c r="C424" t="s">
        <v>105</v>
      </c>
      <c r="D424" s="1" t="s">
        <v>339</v>
      </c>
      <c r="E424" s="1" t="s">
        <v>340</v>
      </c>
      <c r="F424">
        <v>2017</v>
      </c>
      <c r="G424">
        <v>228146</v>
      </c>
      <c r="H424" t="s">
        <v>1308</v>
      </c>
      <c r="I424" t="s">
        <v>870</v>
      </c>
      <c r="J424">
        <v>72</v>
      </c>
      <c r="K424" t="s">
        <v>876</v>
      </c>
      <c r="L424" t="b">
        <v>0</v>
      </c>
      <c r="M424" s="2">
        <v>44834.414097222223</v>
      </c>
      <c r="N424">
        <v>2022</v>
      </c>
    </row>
    <row r="425" spans="1:14" x14ac:dyDescent="0.25">
      <c r="A425" s="1" t="s">
        <v>341</v>
      </c>
      <c r="B425" s="1" t="s">
        <v>64</v>
      </c>
      <c r="C425" t="s">
        <v>64</v>
      </c>
      <c r="D425" s="1" t="s">
        <v>342</v>
      </c>
      <c r="E425" s="1" t="s">
        <v>343</v>
      </c>
      <c r="F425">
        <v>2002</v>
      </c>
      <c r="G425">
        <v>258093</v>
      </c>
      <c r="H425" t="s">
        <v>1309</v>
      </c>
      <c r="I425" t="s">
        <v>868</v>
      </c>
      <c r="J425">
        <v>55</v>
      </c>
      <c r="K425" t="s">
        <v>879</v>
      </c>
      <c r="L425" t="b">
        <v>0</v>
      </c>
      <c r="M425" s="2">
        <v>44834.414097222223</v>
      </c>
      <c r="N425">
        <v>2022</v>
      </c>
    </row>
    <row r="426" spans="1:14" x14ac:dyDescent="0.25">
      <c r="A426" s="1" t="s">
        <v>344</v>
      </c>
      <c r="B426" s="1" t="s">
        <v>64</v>
      </c>
      <c r="C426" t="s">
        <v>64</v>
      </c>
      <c r="D426" s="1" t="s">
        <v>78</v>
      </c>
      <c r="E426" s="1" t="s">
        <v>79</v>
      </c>
      <c r="F426">
        <v>2000</v>
      </c>
      <c r="G426">
        <v>288946</v>
      </c>
      <c r="H426" t="s">
        <v>1310</v>
      </c>
      <c r="I426" t="s">
        <v>868</v>
      </c>
      <c r="J426">
        <v>70</v>
      </c>
      <c r="K426" t="s">
        <v>876</v>
      </c>
      <c r="L426" t="b">
        <v>0</v>
      </c>
      <c r="M426" s="2">
        <v>44834.414097222223</v>
      </c>
      <c r="N426">
        <v>2022</v>
      </c>
    </row>
    <row r="427" spans="1:14" x14ac:dyDescent="0.25">
      <c r="A427" s="1" t="s">
        <v>345</v>
      </c>
      <c r="B427" s="1" t="s">
        <v>122</v>
      </c>
      <c r="C427" t="s">
        <v>122</v>
      </c>
      <c r="D427" s="1" t="s">
        <v>345</v>
      </c>
      <c r="E427" s="1" t="s">
        <v>346</v>
      </c>
      <c r="F427">
        <v>2022</v>
      </c>
      <c r="G427">
        <v>207914</v>
      </c>
      <c r="H427" t="s">
        <v>1311</v>
      </c>
      <c r="I427" t="s">
        <v>870</v>
      </c>
      <c r="J427">
        <v>39</v>
      </c>
      <c r="K427" t="s">
        <v>877</v>
      </c>
      <c r="L427" t="b">
        <v>0</v>
      </c>
      <c r="M427" s="2">
        <v>44834.414097222223</v>
      </c>
      <c r="N427">
        <v>2022</v>
      </c>
    </row>
    <row r="428" spans="1:14" x14ac:dyDescent="0.25">
      <c r="A428" s="1" t="s">
        <v>347</v>
      </c>
      <c r="B428" s="1" t="s">
        <v>71</v>
      </c>
      <c r="C428" t="s">
        <v>71</v>
      </c>
      <c r="D428" s="1" t="s">
        <v>348</v>
      </c>
      <c r="E428" s="1" t="s">
        <v>349</v>
      </c>
      <c r="F428">
        <v>2010</v>
      </c>
      <c r="G428">
        <v>213720</v>
      </c>
      <c r="H428" t="s">
        <v>1312</v>
      </c>
      <c r="I428" t="s">
        <v>870</v>
      </c>
      <c r="J428">
        <v>61</v>
      </c>
      <c r="K428" t="s">
        <v>876</v>
      </c>
      <c r="L428" t="b">
        <v>0</v>
      </c>
      <c r="M428" s="2">
        <v>44834.414097222223</v>
      </c>
      <c r="N428">
        <v>2022</v>
      </c>
    </row>
    <row r="429" spans="1:14" x14ac:dyDescent="0.25">
      <c r="A429" s="1" t="s">
        <v>350</v>
      </c>
      <c r="B429" s="1" t="s">
        <v>351</v>
      </c>
      <c r="C429" t="s">
        <v>38</v>
      </c>
      <c r="D429" s="1" t="s">
        <v>350</v>
      </c>
      <c r="E429" s="1" t="s">
        <v>352</v>
      </c>
      <c r="F429">
        <v>2022</v>
      </c>
      <c r="G429">
        <v>145783</v>
      </c>
      <c r="H429" t="s">
        <v>1313</v>
      </c>
      <c r="I429" t="s">
        <v>869</v>
      </c>
      <c r="J429">
        <v>52</v>
      </c>
      <c r="K429" t="s">
        <v>879</v>
      </c>
      <c r="L429" t="b">
        <v>0</v>
      </c>
      <c r="M429" s="2">
        <v>44834.414097222223</v>
      </c>
      <c r="N429">
        <v>2022</v>
      </c>
    </row>
    <row r="430" spans="1:14" x14ac:dyDescent="0.25">
      <c r="A430" s="1" t="s">
        <v>353</v>
      </c>
      <c r="B430" s="1" t="s">
        <v>12</v>
      </c>
      <c r="C430" t="s">
        <v>12</v>
      </c>
      <c r="D430" s="1" t="s">
        <v>272</v>
      </c>
      <c r="E430" s="1" t="s">
        <v>273</v>
      </c>
      <c r="F430">
        <v>2021</v>
      </c>
      <c r="G430">
        <v>217808</v>
      </c>
      <c r="H430" t="s">
        <v>1314</v>
      </c>
      <c r="I430" t="s">
        <v>870</v>
      </c>
      <c r="J430">
        <v>32</v>
      </c>
      <c r="K430" t="s">
        <v>877</v>
      </c>
      <c r="L430" t="b">
        <v>0</v>
      </c>
      <c r="M430" s="2">
        <v>44834.414097222223</v>
      </c>
      <c r="N430">
        <v>2022</v>
      </c>
    </row>
    <row r="431" spans="1:14" x14ac:dyDescent="0.25">
      <c r="A431" s="1" t="s">
        <v>354</v>
      </c>
      <c r="B431" s="1" t="s">
        <v>251</v>
      </c>
      <c r="C431" t="s">
        <v>251</v>
      </c>
      <c r="D431" s="1" t="s">
        <v>355</v>
      </c>
      <c r="E431" s="1" t="s">
        <v>356</v>
      </c>
      <c r="F431">
        <v>2003</v>
      </c>
      <c r="G431">
        <v>271600</v>
      </c>
      <c r="H431" t="s">
        <v>1315</v>
      </c>
      <c r="I431" t="s">
        <v>868</v>
      </c>
      <c r="J431">
        <v>67</v>
      </c>
      <c r="K431" t="s">
        <v>876</v>
      </c>
      <c r="L431" t="b">
        <v>0</v>
      </c>
      <c r="M431" s="2">
        <v>44834.414097222223</v>
      </c>
      <c r="N431">
        <v>2022</v>
      </c>
    </row>
    <row r="432" spans="1:14" x14ac:dyDescent="0.25">
      <c r="A432" s="1" t="s">
        <v>357</v>
      </c>
      <c r="B432" s="1" t="s">
        <v>358</v>
      </c>
      <c r="C432" t="s">
        <v>251</v>
      </c>
      <c r="D432" s="1" t="s">
        <v>359</v>
      </c>
      <c r="E432" s="1" t="s">
        <v>334</v>
      </c>
      <c r="F432">
        <v>2008</v>
      </c>
      <c r="G432">
        <v>251520</v>
      </c>
      <c r="H432" t="s">
        <v>1316</v>
      </c>
      <c r="I432" t="s">
        <v>868</v>
      </c>
      <c r="J432">
        <v>70</v>
      </c>
      <c r="K432" t="s">
        <v>876</v>
      </c>
      <c r="L432" t="b">
        <v>0</v>
      </c>
      <c r="M432" s="2">
        <v>44834.414097222223</v>
      </c>
      <c r="N432">
        <v>2022</v>
      </c>
    </row>
    <row r="433" spans="1:14" x14ac:dyDescent="0.25">
      <c r="A433" s="1" t="s">
        <v>360</v>
      </c>
      <c r="B433" s="1" t="s">
        <v>16</v>
      </c>
      <c r="C433" t="s">
        <v>16</v>
      </c>
      <c r="D433" s="1" t="s">
        <v>360</v>
      </c>
      <c r="E433" s="1" t="s">
        <v>361</v>
      </c>
      <c r="F433">
        <v>2022</v>
      </c>
      <c r="G433">
        <v>154293</v>
      </c>
      <c r="H433" t="s">
        <v>1317</v>
      </c>
      <c r="I433" t="s">
        <v>869</v>
      </c>
      <c r="J433">
        <v>33</v>
      </c>
      <c r="K433" t="s">
        <v>877</v>
      </c>
      <c r="L433" t="b">
        <v>0</v>
      </c>
      <c r="M433" s="2">
        <v>44834.414097222223</v>
      </c>
      <c r="N433">
        <v>2022</v>
      </c>
    </row>
    <row r="434" spans="1:14" x14ac:dyDescent="0.25">
      <c r="A434" s="1" t="s">
        <v>362</v>
      </c>
      <c r="B434" s="1" t="s">
        <v>71</v>
      </c>
      <c r="C434" t="s">
        <v>71</v>
      </c>
      <c r="D434" s="1" t="s">
        <v>362</v>
      </c>
      <c r="E434" s="1" t="s">
        <v>363</v>
      </c>
      <c r="F434">
        <v>2022</v>
      </c>
      <c r="G434">
        <v>178849</v>
      </c>
      <c r="H434" t="s">
        <v>1318</v>
      </c>
      <c r="I434" t="s">
        <v>869</v>
      </c>
      <c r="J434">
        <v>44</v>
      </c>
      <c r="K434" t="s">
        <v>879</v>
      </c>
      <c r="L434" t="b">
        <v>0</v>
      </c>
      <c r="M434" s="2">
        <v>44834.414097222223</v>
      </c>
      <c r="N434">
        <v>2022</v>
      </c>
    </row>
    <row r="435" spans="1:14" x14ac:dyDescent="0.25">
      <c r="A435" s="1" t="s">
        <v>364</v>
      </c>
      <c r="B435" s="1" t="s">
        <v>57</v>
      </c>
      <c r="C435" t="s">
        <v>57</v>
      </c>
      <c r="D435" s="1" t="s">
        <v>365</v>
      </c>
      <c r="E435" s="1" t="s">
        <v>366</v>
      </c>
      <c r="F435">
        <v>2000</v>
      </c>
      <c r="G435">
        <v>259373</v>
      </c>
      <c r="H435" t="s">
        <v>1319</v>
      </c>
      <c r="I435" t="s">
        <v>868</v>
      </c>
      <c r="J435">
        <v>42</v>
      </c>
      <c r="K435" t="s">
        <v>879</v>
      </c>
      <c r="L435" t="b">
        <v>0</v>
      </c>
      <c r="M435" s="2">
        <v>44834.414097222223</v>
      </c>
      <c r="N435">
        <v>2022</v>
      </c>
    </row>
    <row r="436" spans="1:14" x14ac:dyDescent="0.25">
      <c r="A436" s="1" t="s">
        <v>367</v>
      </c>
      <c r="B436" s="1" t="s">
        <v>16</v>
      </c>
      <c r="C436" t="s">
        <v>16</v>
      </c>
      <c r="D436" s="1" t="s">
        <v>368</v>
      </c>
      <c r="E436" s="1" t="s">
        <v>253</v>
      </c>
      <c r="F436">
        <v>2014</v>
      </c>
      <c r="G436">
        <v>195662</v>
      </c>
      <c r="H436" t="s">
        <v>1320</v>
      </c>
      <c r="I436" t="s">
        <v>870</v>
      </c>
      <c r="J436">
        <v>46</v>
      </c>
      <c r="K436" t="s">
        <v>879</v>
      </c>
      <c r="L436" t="b">
        <v>0</v>
      </c>
      <c r="M436" s="2">
        <v>44834.414097222223</v>
      </c>
      <c r="N436">
        <v>2022</v>
      </c>
    </row>
    <row r="437" spans="1:14" x14ac:dyDescent="0.25">
      <c r="A437" s="1" t="s">
        <v>369</v>
      </c>
      <c r="B437" s="1" t="s">
        <v>16</v>
      </c>
      <c r="C437" t="s">
        <v>16</v>
      </c>
      <c r="D437" s="1" t="s">
        <v>336</v>
      </c>
      <c r="E437" s="1" t="s">
        <v>305</v>
      </c>
      <c r="F437">
        <v>2009</v>
      </c>
      <c r="G437">
        <v>238106</v>
      </c>
      <c r="H437" t="s">
        <v>1321</v>
      </c>
      <c r="I437" t="s">
        <v>870</v>
      </c>
      <c r="J437">
        <v>50</v>
      </c>
      <c r="K437" t="s">
        <v>879</v>
      </c>
      <c r="L437" t="b">
        <v>0</v>
      </c>
      <c r="M437" s="2">
        <v>44834.414097222223</v>
      </c>
      <c r="N437">
        <v>2022</v>
      </c>
    </row>
    <row r="438" spans="1:14" x14ac:dyDescent="0.25">
      <c r="A438" s="1" t="s">
        <v>370</v>
      </c>
      <c r="B438" s="1" t="s">
        <v>16</v>
      </c>
      <c r="C438" t="s">
        <v>16</v>
      </c>
      <c r="D438" s="1" t="s">
        <v>370</v>
      </c>
      <c r="E438" s="1" t="s">
        <v>195</v>
      </c>
      <c r="F438">
        <v>2013</v>
      </c>
      <c r="G438">
        <v>231646</v>
      </c>
      <c r="H438" t="s">
        <v>1322</v>
      </c>
      <c r="I438" t="s">
        <v>870</v>
      </c>
      <c r="J438">
        <v>0</v>
      </c>
      <c r="K438" t="s">
        <v>878</v>
      </c>
      <c r="L438" t="b">
        <v>0</v>
      </c>
      <c r="M438" s="2">
        <v>44834.414097222223</v>
      </c>
      <c r="N438">
        <v>2022</v>
      </c>
    </row>
    <row r="439" spans="1:14" x14ac:dyDescent="0.25">
      <c r="A439" s="1" t="s">
        <v>371</v>
      </c>
      <c r="B439" s="1" t="s">
        <v>16</v>
      </c>
      <c r="C439" t="s">
        <v>16</v>
      </c>
      <c r="D439" s="1" t="s">
        <v>372</v>
      </c>
      <c r="E439" s="1" t="s">
        <v>256</v>
      </c>
      <c r="F439">
        <v>2006</v>
      </c>
      <c r="G439">
        <v>251773</v>
      </c>
      <c r="H439" t="s">
        <v>1323</v>
      </c>
      <c r="I439" t="s">
        <v>868</v>
      </c>
      <c r="J439">
        <v>0</v>
      </c>
      <c r="K439" t="s">
        <v>878</v>
      </c>
      <c r="L439" t="b">
        <v>0</v>
      </c>
      <c r="M439" s="2">
        <v>44834.414097222223</v>
      </c>
      <c r="N439">
        <v>2022</v>
      </c>
    </row>
    <row r="440" spans="1:14" x14ac:dyDescent="0.25">
      <c r="A440" s="1" t="s">
        <v>302</v>
      </c>
      <c r="B440" s="1" t="s">
        <v>16</v>
      </c>
      <c r="C440" t="s">
        <v>16</v>
      </c>
      <c r="D440" s="1" t="s">
        <v>373</v>
      </c>
      <c r="E440" s="1" t="s">
        <v>195</v>
      </c>
      <c r="F440">
        <v>2013</v>
      </c>
      <c r="G440">
        <v>245680</v>
      </c>
      <c r="H440" t="s">
        <v>1324</v>
      </c>
      <c r="I440" t="s">
        <v>868</v>
      </c>
      <c r="J440">
        <v>0</v>
      </c>
      <c r="K440" t="s">
        <v>878</v>
      </c>
      <c r="L440" t="b">
        <v>0</v>
      </c>
      <c r="M440" s="2">
        <v>44834.414097222223</v>
      </c>
      <c r="N440">
        <v>2022</v>
      </c>
    </row>
    <row r="441" spans="1:14" x14ac:dyDescent="0.25">
      <c r="A441" s="1" t="s">
        <v>374</v>
      </c>
      <c r="B441" s="1" t="s">
        <v>71</v>
      </c>
      <c r="C441" t="s">
        <v>71</v>
      </c>
      <c r="D441" s="1" t="s">
        <v>71</v>
      </c>
      <c r="E441" s="1" t="s">
        <v>139</v>
      </c>
      <c r="F441">
        <v>1995</v>
      </c>
      <c r="G441">
        <v>244000</v>
      </c>
      <c r="H441" t="s">
        <v>1325</v>
      </c>
      <c r="I441" t="s">
        <v>868</v>
      </c>
      <c r="J441">
        <v>66</v>
      </c>
      <c r="K441" t="s">
        <v>876</v>
      </c>
      <c r="L441" t="b">
        <v>0</v>
      </c>
      <c r="M441" s="2">
        <v>44834.414097222223</v>
      </c>
      <c r="N441">
        <v>2022</v>
      </c>
    </row>
    <row r="442" spans="1:14" x14ac:dyDescent="0.25">
      <c r="A442" s="1" t="s">
        <v>375</v>
      </c>
      <c r="B442" s="1" t="s">
        <v>16</v>
      </c>
      <c r="C442" t="s">
        <v>16</v>
      </c>
      <c r="D442" s="1" t="s">
        <v>375</v>
      </c>
      <c r="E442" s="1" t="s">
        <v>376</v>
      </c>
      <c r="F442">
        <v>2022</v>
      </c>
      <c r="G442">
        <v>197426</v>
      </c>
      <c r="H442" t="s">
        <v>1326</v>
      </c>
      <c r="I442" t="s">
        <v>870</v>
      </c>
      <c r="J442">
        <v>47</v>
      </c>
      <c r="K442" t="s">
        <v>879</v>
      </c>
      <c r="L442" t="b">
        <v>0</v>
      </c>
      <c r="M442" s="2">
        <v>44834.414097222223</v>
      </c>
      <c r="N442">
        <v>2022</v>
      </c>
    </row>
    <row r="443" spans="1:14" x14ac:dyDescent="0.25">
      <c r="A443" s="1" t="s">
        <v>377</v>
      </c>
      <c r="B443" s="1" t="s">
        <v>12</v>
      </c>
      <c r="C443" t="s">
        <v>12</v>
      </c>
      <c r="D443" s="1" t="s">
        <v>272</v>
      </c>
      <c r="E443" s="1" t="s">
        <v>273</v>
      </c>
      <c r="F443">
        <v>2021</v>
      </c>
      <c r="G443">
        <v>172800</v>
      </c>
      <c r="H443" t="s">
        <v>1327</v>
      </c>
      <c r="I443" t="s">
        <v>869</v>
      </c>
      <c r="J443">
        <v>37</v>
      </c>
      <c r="K443" t="s">
        <v>877</v>
      </c>
      <c r="L443" t="b">
        <v>0</v>
      </c>
      <c r="M443" s="2">
        <v>44834.414097222223</v>
      </c>
      <c r="N443">
        <v>2022</v>
      </c>
    </row>
    <row r="444" spans="1:14" x14ac:dyDescent="0.25">
      <c r="A444" s="1" t="s">
        <v>378</v>
      </c>
      <c r="B444" s="1" t="s">
        <v>16</v>
      </c>
      <c r="C444" t="s">
        <v>16</v>
      </c>
      <c r="D444" s="1" t="s">
        <v>21</v>
      </c>
      <c r="E444" s="1" t="s">
        <v>22</v>
      </c>
      <c r="F444">
        <v>2016</v>
      </c>
      <c r="G444">
        <v>269754</v>
      </c>
      <c r="H444" t="s">
        <v>1328</v>
      </c>
      <c r="I444" t="s">
        <v>868</v>
      </c>
      <c r="J444">
        <v>46</v>
      </c>
      <c r="K444" t="s">
        <v>879</v>
      </c>
      <c r="L444" t="b">
        <v>0</v>
      </c>
      <c r="M444" s="2">
        <v>44834.414097222223</v>
      </c>
      <c r="N444">
        <v>2022</v>
      </c>
    </row>
    <row r="445" spans="1:14" x14ac:dyDescent="0.25">
      <c r="A445" s="1" t="s">
        <v>75</v>
      </c>
      <c r="B445" s="1" t="s">
        <v>379</v>
      </c>
      <c r="C445" t="s">
        <v>885</v>
      </c>
      <c r="D445" s="1" t="s">
        <v>75</v>
      </c>
      <c r="E445" s="1" t="s">
        <v>380</v>
      </c>
      <c r="F445">
        <v>2022</v>
      </c>
      <c r="G445">
        <v>208600</v>
      </c>
      <c r="H445" t="s">
        <v>1329</v>
      </c>
      <c r="I445" t="s">
        <v>870</v>
      </c>
      <c r="J445">
        <v>59</v>
      </c>
      <c r="K445" t="s">
        <v>879</v>
      </c>
      <c r="L445" t="b">
        <v>0</v>
      </c>
      <c r="M445" s="2">
        <v>44834.414097222223</v>
      </c>
      <c r="N445">
        <v>2022</v>
      </c>
    </row>
    <row r="446" spans="1:14" x14ac:dyDescent="0.25">
      <c r="A446" s="1" t="s">
        <v>15</v>
      </c>
      <c r="B446" s="1" t="s">
        <v>16</v>
      </c>
      <c r="C446" t="s">
        <v>16</v>
      </c>
      <c r="D446" s="1" t="s">
        <v>17</v>
      </c>
      <c r="E446" s="1" t="s">
        <v>18</v>
      </c>
      <c r="F446">
        <v>2021</v>
      </c>
      <c r="G446">
        <v>226266</v>
      </c>
      <c r="H446" t="s">
        <v>1330</v>
      </c>
      <c r="I446" t="s">
        <v>870</v>
      </c>
      <c r="J446">
        <v>16</v>
      </c>
      <c r="K446" t="s">
        <v>878</v>
      </c>
      <c r="L446" t="b">
        <v>0</v>
      </c>
      <c r="M446" s="2">
        <v>44834.413414351853</v>
      </c>
      <c r="N446">
        <v>2022</v>
      </c>
    </row>
    <row r="447" spans="1:14" x14ac:dyDescent="0.25">
      <c r="A447" s="1" t="s">
        <v>19</v>
      </c>
      <c r="B447" s="1" t="s">
        <v>16</v>
      </c>
      <c r="C447" t="s">
        <v>16</v>
      </c>
      <c r="D447" s="1" t="s">
        <v>17</v>
      </c>
      <c r="E447" s="1" t="s">
        <v>18</v>
      </c>
      <c r="F447">
        <v>2021</v>
      </c>
      <c r="G447">
        <v>227973</v>
      </c>
      <c r="H447" t="s">
        <v>1331</v>
      </c>
      <c r="I447" t="s">
        <v>870</v>
      </c>
      <c r="J447">
        <v>19</v>
      </c>
      <c r="K447" t="s">
        <v>878</v>
      </c>
      <c r="L447" t="b">
        <v>0</v>
      </c>
      <c r="M447" s="2">
        <v>44834.413414351853</v>
      </c>
      <c r="N447">
        <v>2022</v>
      </c>
    </row>
    <row r="448" spans="1:14" x14ac:dyDescent="0.25">
      <c r="A448" s="1" t="s">
        <v>20</v>
      </c>
      <c r="B448" s="1" t="s">
        <v>16</v>
      </c>
      <c r="C448" t="s">
        <v>16</v>
      </c>
      <c r="D448" s="1" t="s">
        <v>21</v>
      </c>
      <c r="E448" s="1" t="s">
        <v>22</v>
      </c>
      <c r="F448">
        <v>2016</v>
      </c>
      <c r="G448">
        <v>251051</v>
      </c>
      <c r="H448" t="s">
        <v>1332</v>
      </c>
      <c r="I448" t="s">
        <v>868</v>
      </c>
      <c r="J448">
        <v>24</v>
      </c>
      <c r="K448" t="s">
        <v>877</v>
      </c>
      <c r="L448" t="b">
        <v>0</v>
      </c>
      <c r="M448" s="2">
        <v>44834.413414351853</v>
      </c>
      <c r="N448">
        <v>2022</v>
      </c>
    </row>
    <row r="449" spans="1:14" x14ac:dyDescent="0.25">
      <c r="A449" s="1" t="s">
        <v>23</v>
      </c>
      <c r="B449" s="1" t="s">
        <v>16</v>
      </c>
      <c r="C449" t="s">
        <v>16</v>
      </c>
      <c r="D449" s="1" t="s">
        <v>21</v>
      </c>
      <c r="E449" s="1" t="s">
        <v>22</v>
      </c>
      <c r="F449">
        <v>2016</v>
      </c>
      <c r="G449">
        <v>192548</v>
      </c>
      <c r="H449" t="s">
        <v>1333</v>
      </c>
      <c r="I449" t="s">
        <v>870</v>
      </c>
      <c r="J449">
        <v>30</v>
      </c>
      <c r="K449" t="s">
        <v>877</v>
      </c>
      <c r="L449" t="b">
        <v>0</v>
      </c>
      <c r="M449" s="2">
        <v>44834.413414351853</v>
      </c>
      <c r="N449">
        <v>2022</v>
      </c>
    </row>
    <row r="450" spans="1:14" x14ac:dyDescent="0.25">
      <c r="A450" s="1" t="s">
        <v>24</v>
      </c>
      <c r="B450" s="1" t="s">
        <v>16</v>
      </c>
      <c r="C450" t="s">
        <v>16</v>
      </c>
      <c r="D450" s="1" t="s">
        <v>21</v>
      </c>
      <c r="E450" s="1" t="s">
        <v>22</v>
      </c>
      <c r="F450">
        <v>2016</v>
      </c>
      <c r="G450">
        <v>197643</v>
      </c>
      <c r="H450" t="s">
        <v>1334</v>
      </c>
      <c r="I450" t="s">
        <v>870</v>
      </c>
      <c r="J450">
        <v>29</v>
      </c>
      <c r="K450" t="s">
        <v>877</v>
      </c>
      <c r="L450" t="b">
        <v>0</v>
      </c>
      <c r="M450" s="2">
        <v>44834.413414351853</v>
      </c>
      <c r="N450">
        <v>2022</v>
      </c>
    </row>
    <row r="451" spans="1:14" x14ac:dyDescent="0.25">
      <c r="A451" s="1" t="s">
        <v>381</v>
      </c>
      <c r="B451" s="1" t="s">
        <v>382</v>
      </c>
      <c r="C451" t="s">
        <v>26</v>
      </c>
      <c r="D451" s="1" t="s">
        <v>381</v>
      </c>
      <c r="E451" s="1" t="s">
        <v>383</v>
      </c>
      <c r="F451">
        <v>2022</v>
      </c>
      <c r="G451">
        <v>229567</v>
      </c>
      <c r="H451" t="s">
        <v>1335</v>
      </c>
      <c r="I451" t="s">
        <v>870</v>
      </c>
      <c r="J451">
        <v>46</v>
      </c>
      <c r="K451" t="s">
        <v>879</v>
      </c>
      <c r="L451" t="b">
        <v>0</v>
      </c>
      <c r="M451" s="2">
        <v>44872.495000000003</v>
      </c>
      <c r="N451">
        <v>2022</v>
      </c>
    </row>
    <row r="452" spans="1:14" x14ac:dyDescent="0.25">
      <c r="A452" s="1" t="s">
        <v>384</v>
      </c>
      <c r="B452" s="1" t="s">
        <v>385</v>
      </c>
      <c r="C452" t="s">
        <v>26</v>
      </c>
      <c r="D452" s="1" t="s">
        <v>384</v>
      </c>
      <c r="E452" s="1" t="s">
        <v>386</v>
      </c>
      <c r="F452">
        <v>2022</v>
      </c>
      <c r="G452">
        <v>233755</v>
      </c>
      <c r="H452" t="s">
        <v>1336</v>
      </c>
      <c r="I452" t="s">
        <v>870</v>
      </c>
      <c r="J452">
        <v>63</v>
      </c>
      <c r="K452" t="s">
        <v>876</v>
      </c>
      <c r="L452" t="b">
        <v>0</v>
      </c>
      <c r="M452" s="2">
        <v>44880.629872685182</v>
      </c>
      <c r="N452">
        <v>2022</v>
      </c>
    </row>
    <row r="453" spans="1:14" x14ac:dyDescent="0.25">
      <c r="A453" s="1" t="s">
        <v>387</v>
      </c>
      <c r="B453" s="1" t="s">
        <v>388</v>
      </c>
      <c r="C453" t="s">
        <v>26</v>
      </c>
      <c r="D453" s="1" t="s">
        <v>389</v>
      </c>
      <c r="E453" s="1" t="s">
        <v>390</v>
      </c>
      <c r="F453">
        <v>2022</v>
      </c>
      <c r="G453">
        <v>188583</v>
      </c>
      <c r="H453" t="s">
        <v>1337</v>
      </c>
      <c r="I453" t="s">
        <v>870</v>
      </c>
      <c r="J453">
        <v>43</v>
      </c>
      <c r="K453" t="s">
        <v>879</v>
      </c>
      <c r="L453" t="b">
        <v>0</v>
      </c>
      <c r="M453" s="2">
        <v>44899.49287037037</v>
      </c>
      <c r="N453">
        <v>2022</v>
      </c>
    </row>
    <row r="454" spans="1:14" x14ac:dyDescent="0.25">
      <c r="A454" s="1" t="s">
        <v>391</v>
      </c>
      <c r="B454" s="1" t="s">
        <v>12</v>
      </c>
      <c r="C454" t="s">
        <v>12</v>
      </c>
      <c r="D454" s="1" t="s">
        <v>391</v>
      </c>
      <c r="E454" s="1" t="s">
        <v>392</v>
      </c>
      <c r="F454">
        <v>2023</v>
      </c>
      <c r="G454">
        <v>214109</v>
      </c>
      <c r="H454" t="s">
        <v>1338</v>
      </c>
      <c r="I454" t="s">
        <v>870</v>
      </c>
      <c r="J454">
        <v>35</v>
      </c>
      <c r="K454" t="s">
        <v>877</v>
      </c>
      <c r="L454" t="b">
        <v>0</v>
      </c>
      <c r="M454" s="2">
        <v>45183.440694444442</v>
      </c>
      <c r="N454">
        <v>2023</v>
      </c>
    </row>
    <row r="455" spans="1:14" x14ac:dyDescent="0.25">
      <c r="A455" s="1" t="s">
        <v>393</v>
      </c>
      <c r="B455" s="1" t="s">
        <v>16</v>
      </c>
      <c r="C455" t="s">
        <v>16</v>
      </c>
      <c r="D455" s="1" t="s">
        <v>393</v>
      </c>
      <c r="E455" s="1" t="s">
        <v>392</v>
      </c>
      <c r="F455">
        <v>2023</v>
      </c>
      <c r="G455">
        <v>193326</v>
      </c>
      <c r="H455" t="s">
        <v>1339</v>
      </c>
      <c r="I455" t="s">
        <v>870</v>
      </c>
      <c r="J455">
        <v>33</v>
      </c>
      <c r="K455" t="s">
        <v>877</v>
      </c>
      <c r="L455" t="b">
        <v>0</v>
      </c>
      <c r="M455" s="2">
        <v>45183.44090277778</v>
      </c>
      <c r="N455">
        <v>2023</v>
      </c>
    </row>
    <row r="456" spans="1:14" x14ac:dyDescent="0.25">
      <c r="A456" s="1" t="s">
        <v>394</v>
      </c>
      <c r="B456" s="1" t="s">
        <v>395</v>
      </c>
      <c r="C456" t="s">
        <v>886</v>
      </c>
      <c r="D456" s="1" t="s">
        <v>394</v>
      </c>
      <c r="E456" s="1" t="s">
        <v>392</v>
      </c>
      <c r="F456">
        <v>2023</v>
      </c>
      <c r="G456">
        <v>162816</v>
      </c>
      <c r="H456" t="s">
        <v>1340</v>
      </c>
      <c r="I456" t="s">
        <v>869</v>
      </c>
      <c r="J456">
        <v>52</v>
      </c>
      <c r="K456" t="s">
        <v>879</v>
      </c>
      <c r="L456" t="b">
        <v>0</v>
      </c>
      <c r="M456" s="2">
        <v>45183.441018518519</v>
      </c>
      <c r="N456">
        <v>2023</v>
      </c>
    </row>
    <row r="457" spans="1:14" x14ac:dyDescent="0.25">
      <c r="A457" s="1" t="s">
        <v>396</v>
      </c>
      <c r="B457" s="1" t="s">
        <v>397</v>
      </c>
      <c r="C457" t="s">
        <v>397</v>
      </c>
      <c r="D457" s="1" t="s">
        <v>396</v>
      </c>
      <c r="E457" s="1" t="s">
        <v>398</v>
      </c>
      <c r="F457">
        <v>2003</v>
      </c>
      <c r="G457">
        <v>213213</v>
      </c>
      <c r="H457" t="s">
        <v>1341</v>
      </c>
      <c r="I457" t="s">
        <v>870</v>
      </c>
      <c r="J457">
        <v>58</v>
      </c>
      <c r="K457" t="s">
        <v>879</v>
      </c>
      <c r="L457" t="b">
        <v>0</v>
      </c>
      <c r="M457" s="2">
        <v>45219.917002314818</v>
      </c>
      <c r="N457">
        <v>2023</v>
      </c>
    </row>
    <row r="458" spans="1:14" x14ac:dyDescent="0.25">
      <c r="A458" s="1" t="s">
        <v>399</v>
      </c>
      <c r="B458" s="1" t="s">
        <v>397</v>
      </c>
      <c r="C458" t="s">
        <v>397</v>
      </c>
      <c r="D458" s="1" t="s">
        <v>400</v>
      </c>
      <c r="E458" s="1" t="s">
        <v>401</v>
      </c>
      <c r="F458">
        <v>2011</v>
      </c>
      <c r="G458">
        <v>253240</v>
      </c>
      <c r="H458" t="s">
        <v>1342</v>
      </c>
      <c r="I458" t="s">
        <v>868</v>
      </c>
      <c r="J458">
        <v>63</v>
      </c>
      <c r="K458" t="s">
        <v>876</v>
      </c>
      <c r="L458" t="b">
        <v>0</v>
      </c>
      <c r="M458" s="2">
        <v>45219.91710648148</v>
      </c>
      <c r="N458">
        <v>2023</v>
      </c>
    </row>
    <row r="459" spans="1:14" x14ac:dyDescent="0.25">
      <c r="A459" s="1" t="s">
        <v>402</v>
      </c>
      <c r="B459" s="1" t="s">
        <v>179</v>
      </c>
      <c r="C459" t="s">
        <v>179</v>
      </c>
      <c r="D459" s="1" t="s">
        <v>403</v>
      </c>
      <c r="E459" s="1" t="s">
        <v>404</v>
      </c>
      <c r="F459">
        <v>2012</v>
      </c>
      <c r="G459">
        <v>234480</v>
      </c>
      <c r="H459" t="s">
        <v>1343</v>
      </c>
      <c r="I459" t="s">
        <v>870</v>
      </c>
      <c r="J459">
        <v>66</v>
      </c>
      <c r="K459" t="s">
        <v>876</v>
      </c>
      <c r="L459" t="b">
        <v>0</v>
      </c>
      <c r="M459" s="2">
        <v>45219.921550925923</v>
      </c>
      <c r="N459">
        <v>2023</v>
      </c>
    </row>
    <row r="460" spans="1:14" x14ac:dyDescent="0.25">
      <c r="A460" s="1" t="s">
        <v>405</v>
      </c>
      <c r="B460" s="1" t="s">
        <v>16</v>
      </c>
      <c r="C460" t="s">
        <v>16</v>
      </c>
      <c r="D460" s="1" t="s">
        <v>17</v>
      </c>
      <c r="E460" s="1" t="s">
        <v>18</v>
      </c>
      <c r="F460">
        <v>2021</v>
      </c>
      <c r="G460">
        <v>209800</v>
      </c>
      <c r="H460" t="s">
        <v>1344</v>
      </c>
      <c r="I460" t="s">
        <v>870</v>
      </c>
      <c r="J460">
        <v>18</v>
      </c>
      <c r="K460" t="s">
        <v>878</v>
      </c>
      <c r="L460" t="b">
        <v>0</v>
      </c>
      <c r="M460" s="2">
        <v>45232.386296296296</v>
      </c>
      <c r="N460">
        <v>2023</v>
      </c>
    </row>
    <row r="461" spans="1:14" x14ac:dyDescent="0.25">
      <c r="A461" s="1" t="s">
        <v>336</v>
      </c>
      <c r="B461" s="1" t="s">
        <v>16</v>
      </c>
      <c r="C461" t="s">
        <v>16</v>
      </c>
      <c r="D461" s="1" t="s">
        <v>17</v>
      </c>
      <c r="E461" s="1" t="s">
        <v>18</v>
      </c>
      <c r="F461">
        <v>2021</v>
      </c>
      <c r="G461">
        <v>211186</v>
      </c>
      <c r="H461" t="s">
        <v>1345</v>
      </c>
      <c r="I461" t="s">
        <v>870</v>
      </c>
      <c r="J461">
        <v>20</v>
      </c>
      <c r="K461" t="s">
        <v>878</v>
      </c>
      <c r="L461" t="b">
        <v>0</v>
      </c>
      <c r="M461" s="2">
        <v>45232.386296296296</v>
      </c>
      <c r="N461">
        <v>2023</v>
      </c>
    </row>
    <row r="462" spans="1:14" x14ac:dyDescent="0.25">
      <c r="A462" s="1" t="s">
        <v>406</v>
      </c>
      <c r="B462" s="1" t="s">
        <v>16</v>
      </c>
      <c r="C462" t="s">
        <v>16</v>
      </c>
      <c r="D462" s="1" t="s">
        <v>17</v>
      </c>
      <c r="E462" s="1" t="s">
        <v>18</v>
      </c>
      <c r="F462">
        <v>2021</v>
      </c>
      <c r="G462">
        <v>251493</v>
      </c>
      <c r="H462" t="s">
        <v>1346</v>
      </c>
      <c r="I462" t="s">
        <v>868</v>
      </c>
      <c r="J462">
        <v>12</v>
      </c>
      <c r="K462" t="s">
        <v>878</v>
      </c>
      <c r="L462" t="b">
        <v>0</v>
      </c>
      <c r="M462" s="2">
        <v>45232.386296296296</v>
      </c>
      <c r="N462">
        <v>2023</v>
      </c>
    </row>
    <row r="463" spans="1:14" x14ac:dyDescent="0.25">
      <c r="A463" s="1" t="s">
        <v>407</v>
      </c>
      <c r="B463" s="1" t="s">
        <v>16</v>
      </c>
      <c r="C463" t="s">
        <v>16</v>
      </c>
      <c r="D463" s="1" t="s">
        <v>302</v>
      </c>
      <c r="E463" s="1" t="s">
        <v>133</v>
      </c>
      <c r="F463">
        <v>2006</v>
      </c>
      <c r="G463">
        <v>218866</v>
      </c>
      <c r="H463" t="s">
        <v>1347</v>
      </c>
      <c r="I463" t="s">
        <v>870</v>
      </c>
      <c r="J463">
        <v>49</v>
      </c>
      <c r="K463" t="s">
        <v>879</v>
      </c>
      <c r="L463" t="b">
        <v>0</v>
      </c>
      <c r="M463" s="2">
        <v>45232.386296296296</v>
      </c>
      <c r="N463">
        <v>2023</v>
      </c>
    </row>
    <row r="464" spans="1:14" x14ac:dyDescent="0.25">
      <c r="A464" s="1" t="s">
        <v>408</v>
      </c>
      <c r="B464" s="1" t="s">
        <v>16</v>
      </c>
      <c r="C464" t="s">
        <v>16</v>
      </c>
      <c r="D464" s="1" t="s">
        <v>336</v>
      </c>
      <c r="E464" s="1" t="s">
        <v>305</v>
      </c>
      <c r="F464">
        <v>2009</v>
      </c>
      <c r="G464">
        <v>207693</v>
      </c>
      <c r="H464" t="s">
        <v>1348</v>
      </c>
      <c r="I464" t="s">
        <v>870</v>
      </c>
      <c r="J464">
        <v>27</v>
      </c>
      <c r="K464" t="s">
        <v>877</v>
      </c>
      <c r="L464" t="b">
        <v>0</v>
      </c>
      <c r="M464" s="2">
        <v>45232.386296296296</v>
      </c>
      <c r="N464">
        <v>2023</v>
      </c>
    </row>
    <row r="465" spans="1:14" x14ac:dyDescent="0.25">
      <c r="A465" s="1" t="s">
        <v>409</v>
      </c>
      <c r="B465" s="1" t="s">
        <v>16</v>
      </c>
      <c r="C465" t="s">
        <v>16</v>
      </c>
      <c r="D465" s="1" t="s">
        <v>336</v>
      </c>
      <c r="E465" s="1" t="s">
        <v>305</v>
      </c>
      <c r="F465">
        <v>2009</v>
      </c>
      <c r="G465">
        <v>296013</v>
      </c>
      <c r="H465" t="s">
        <v>1349</v>
      </c>
      <c r="I465" t="s">
        <v>868</v>
      </c>
      <c r="J465">
        <v>31</v>
      </c>
      <c r="K465" t="s">
        <v>877</v>
      </c>
      <c r="L465" t="b">
        <v>0</v>
      </c>
      <c r="M465" s="2">
        <v>45232.386296296296</v>
      </c>
      <c r="N465">
        <v>2023</v>
      </c>
    </row>
    <row r="466" spans="1:14" x14ac:dyDescent="0.25">
      <c r="A466" s="1" t="s">
        <v>410</v>
      </c>
      <c r="B466" s="1" t="s">
        <v>16</v>
      </c>
      <c r="C466" t="s">
        <v>16</v>
      </c>
      <c r="D466" s="1" t="s">
        <v>336</v>
      </c>
      <c r="E466" s="1" t="s">
        <v>305</v>
      </c>
      <c r="F466">
        <v>2009</v>
      </c>
      <c r="G466">
        <v>239840</v>
      </c>
      <c r="H466" t="s">
        <v>1350</v>
      </c>
      <c r="I466" t="s">
        <v>870</v>
      </c>
      <c r="J466">
        <v>33</v>
      </c>
      <c r="K466" t="s">
        <v>877</v>
      </c>
      <c r="L466" t="b">
        <v>0</v>
      </c>
      <c r="M466" s="2">
        <v>45232.386296296296</v>
      </c>
      <c r="N466">
        <v>2023</v>
      </c>
    </row>
    <row r="467" spans="1:14" x14ac:dyDescent="0.25">
      <c r="A467" s="1" t="s">
        <v>411</v>
      </c>
      <c r="B467" s="1" t="s">
        <v>26</v>
      </c>
      <c r="C467" t="s">
        <v>26</v>
      </c>
      <c r="D467" s="1" t="s">
        <v>412</v>
      </c>
      <c r="E467" s="1" t="s">
        <v>413</v>
      </c>
      <c r="F467">
        <v>2023</v>
      </c>
      <c r="G467">
        <v>194579</v>
      </c>
      <c r="H467" t="s">
        <v>1351</v>
      </c>
      <c r="I467" t="s">
        <v>870</v>
      </c>
      <c r="J467">
        <v>46</v>
      </c>
      <c r="K467" t="s">
        <v>879</v>
      </c>
      <c r="L467" t="b">
        <v>0</v>
      </c>
      <c r="M467" s="2">
        <v>45232.386296296296</v>
      </c>
      <c r="N467">
        <v>2023</v>
      </c>
    </row>
    <row r="468" spans="1:14" x14ac:dyDescent="0.25">
      <c r="A468" s="1" t="s">
        <v>414</v>
      </c>
      <c r="B468" s="1" t="s">
        <v>12</v>
      </c>
      <c r="C468" t="s">
        <v>12</v>
      </c>
      <c r="D468" s="1" t="s">
        <v>415</v>
      </c>
      <c r="E468" s="1" t="s">
        <v>416</v>
      </c>
      <c r="F468">
        <v>2013</v>
      </c>
      <c r="G468">
        <v>218576</v>
      </c>
      <c r="H468" t="s">
        <v>1352</v>
      </c>
      <c r="I468" t="s">
        <v>870</v>
      </c>
      <c r="J468">
        <v>48</v>
      </c>
      <c r="K468" t="s">
        <v>879</v>
      </c>
      <c r="L468" t="b">
        <v>0</v>
      </c>
      <c r="M468" s="2">
        <v>45232.386296296296</v>
      </c>
      <c r="N468">
        <v>2023</v>
      </c>
    </row>
    <row r="469" spans="1:14" x14ac:dyDescent="0.25">
      <c r="A469" s="1" t="s">
        <v>63</v>
      </c>
      <c r="B469" s="1" t="s">
        <v>16</v>
      </c>
      <c r="C469" t="s">
        <v>16</v>
      </c>
      <c r="D469" s="1" t="s">
        <v>417</v>
      </c>
      <c r="E469" s="1" t="s">
        <v>418</v>
      </c>
      <c r="F469">
        <v>2016</v>
      </c>
      <c r="G469">
        <v>206173</v>
      </c>
      <c r="H469" t="s">
        <v>1353</v>
      </c>
      <c r="I469" t="s">
        <v>870</v>
      </c>
      <c r="J469">
        <v>63</v>
      </c>
      <c r="K469" t="s">
        <v>876</v>
      </c>
      <c r="L469" t="b">
        <v>0</v>
      </c>
      <c r="M469" s="2">
        <v>45349.453761574077</v>
      </c>
      <c r="N469">
        <v>2024</v>
      </c>
    </row>
    <row r="470" spans="1:14" x14ac:dyDescent="0.25">
      <c r="A470" s="1" t="s">
        <v>419</v>
      </c>
      <c r="B470" s="1" t="s">
        <v>16</v>
      </c>
      <c r="C470" t="s">
        <v>16</v>
      </c>
      <c r="D470" s="1" t="s">
        <v>368</v>
      </c>
      <c r="E470" s="1" t="s">
        <v>253</v>
      </c>
      <c r="F470">
        <v>2014</v>
      </c>
      <c r="G470">
        <v>213060</v>
      </c>
      <c r="H470" t="s">
        <v>1354</v>
      </c>
      <c r="I470" t="s">
        <v>870</v>
      </c>
      <c r="J470">
        <v>61</v>
      </c>
      <c r="K470" t="s">
        <v>876</v>
      </c>
      <c r="L470" t="b">
        <v>0</v>
      </c>
      <c r="M470" s="2">
        <v>45349.453761574077</v>
      </c>
      <c r="N470">
        <v>2024</v>
      </c>
    </row>
    <row r="471" spans="1:14" x14ac:dyDescent="0.25">
      <c r="A471" s="1" t="s">
        <v>420</v>
      </c>
      <c r="B471" s="1" t="s">
        <v>239</v>
      </c>
      <c r="C471" t="s">
        <v>12</v>
      </c>
      <c r="D471" s="1" t="s">
        <v>421</v>
      </c>
      <c r="E471" s="1" t="s">
        <v>422</v>
      </c>
      <c r="F471">
        <v>2023</v>
      </c>
      <c r="G471">
        <v>218552</v>
      </c>
      <c r="H471" t="s">
        <v>1355</v>
      </c>
      <c r="I471" t="s">
        <v>870</v>
      </c>
      <c r="J471">
        <v>32</v>
      </c>
      <c r="K471" t="s">
        <v>877</v>
      </c>
      <c r="L471" t="b">
        <v>0</v>
      </c>
      <c r="M471" s="2">
        <v>45349.453761574077</v>
      </c>
      <c r="N471">
        <v>2024</v>
      </c>
    </row>
    <row r="472" spans="1:14" x14ac:dyDescent="0.25">
      <c r="A472" s="1" t="s">
        <v>423</v>
      </c>
      <c r="B472" s="1" t="s">
        <v>323</v>
      </c>
      <c r="C472" t="s">
        <v>12</v>
      </c>
      <c r="D472" s="1" t="s">
        <v>421</v>
      </c>
      <c r="E472" s="1" t="s">
        <v>422</v>
      </c>
      <c r="F472">
        <v>2023</v>
      </c>
      <c r="G472">
        <v>218637</v>
      </c>
      <c r="H472" t="s">
        <v>1356</v>
      </c>
      <c r="I472" t="s">
        <v>870</v>
      </c>
      <c r="J472">
        <v>38</v>
      </c>
      <c r="K472" t="s">
        <v>877</v>
      </c>
      <c r="L472" t="b">
        <v>0</v>
      </c>
      <c r="M472" s="2">
        <v>45349.453761574077</v>
      </c>
      <c r="N472">
        <v>2024</v>
      </c>
    </row>
    <row r="473" spans="1:14" x14ac:dyDescent="0.25">
      <c r="A473" s="1" t="s">
        <v>424</v>
      </c>
      <c r="B473" s="1" t="s">
        <v>26</v>
      </c>
      <c r="C473" t="s">
        <v>26</v>
      </c>
      <c r="D473" s="1" t="s">
        <v>425</v>
      </c>
      <c r="E473" s="1" t="s">
        <v>426</v>
      </c>
      <c r="F473">
        <v>2023</v>
      </c>
      <c r="G473">
        <v>208920</v>
      </c>
      <c r="H473" t="s">
        <v>1357</v>
      </c>
      <c r="I473" t="s">
        <v>870</v>
      </c>
      <c r="J473">
        <v>30</v>
      </c>
      <c r="K473" t="s">
        <v>877</v>
      </c>
      <c r="L473" t="b">
        <v>0</v>
      </c>
      <c r="M473" s="2">
        <v>45349.453761574077</v>
      </c>
      <c r="N473">
        <v>2024</v>
      </c>
    </row>
    <row r="474" spans="1:14" x14ac:dyDescent="0.25">
      <c r="A474" s="1" t="s">
        <v>427</v>
      </c>
      <c r="B474" s="1" t="s">
        <v>26</v>
      </c>
      <c r="C474" t="s">
        <v>26</v>
      </c>
      <c r="D474" s="1" t="s">
        <v>425</v>
      </c>
      <c r="E474" s="1" t="s">
        <v>426</v>
      </c>
      <c r="F474">
        <v>2023</v>
      </c>
      <c r="G474">
        <v>211538</v>
      </c>
      <c r="H474" t="s">
        <v>1358</v>
      </c>
      <c r="I474" t="s">
        <v>870</v>
      </c>
      <c r="J474">
        <v>33</v>
      </c>
      <c r="K474" t="s">
        <v>877</v>
      </c>
      <c r="L474" t="b">
        <v>0</v>
      </c>
      <c r="M474" s="2">
        <v>45349.453761574077</v>
      </c>
      <c r="N474">
        <v>2024</v>
      </c>
    </row>
    <row r="475" spans="1:14" x14ac:dyDescent="0.25">
      <c r="A475" s="1" t="s">
        <v>428</v>
      </c>
      <c r="B475" s="1" t="s">
        <v>26</v>
      </c>
      <c r="C475" t="s">
        <v>26</v>
      </c>
      <c r="D475" s="1" t="s">
        <v>425</v>
      </c>
      <c r="E475" s="1" t="s">
        <v>426</v>
      </c>
      <c r="F475">
        <v>2023</v>
      </c>
      <c r="G475">
        <v>207870</v>
      </c>
      <c r="H475" t="s">
        <v>1359</v>
      </c>
      <c r="I475" t="s">
        <v>870</v>
      </c>
      <c r="J475">
        <v>25</v>
      </c>
      <c r="K475" t="s">
        <v>877</v>
      </c>
      <c r="L475" t="b">
        <v>0</v>
      </c>
      <c r="M475" s="2">
        <v>45349.453761574077</v>
      </c>
      <c r="N475">
        <v>2024</v>
      </c>
    </row>
    <row r="476" spans="1:14" x14ac:dyDescent="0.25">
      <c r="A476" s="1" t="s">
        <v>429</v>
      </c>
      <c r="B476" s="1" t="s">
        <v>26</v>
      </c>
      <c r="C476" t="s">
        <v>26</v>
      </c>
      <c r="D476" s="1" t="s">
        <v>425</v>
      </c>
      <c r="E476" s="1" t="s">
        <v>426</v>
      </c>
      <c r="F476">
        <v>2023</v>
      </c>
      <c r="G476">
        <v>201311</v>
      </c>
      <c r="H476" t="s">
        <v>1360</v>
      </c>
      <c r="I476" t="s">
        <v>870</v>
      </c>
      <c r="J476">
        <v>26</v>
      </c>
      <c r="K476" t="s">
        <v>877</v>
      </c>
      <c r="L476" t="b">
        <v>0</v>
      </c>
      <c r="M476" s="2">
        <v>45349.453761574077</v>
      </c>
      <c r="N476">
        <v>2024</v>
      </c>
    </row>
    <row r="477" spans="1:14" x14ac:dyDescent="0.25">
      <c r="A477" s="1" t="s">
        <v>430</v>
      </c>
      <c r="B477" s="1" t="s">
        <v>26</v>
      </c>
      <c r="C477" t="s">
        <v>26</v>
      </c>
      <c r="D477" s="1" t="s">
        <v>425</v>
      </c>
      <c r="E477" s="1" t="s">
        <v>426</v>
      </c>
      <c r="F477">
        <v>2023</v>
      </c>
      <c r="G477">
        <v>227521</v>
      </c>
      <c r="H477" t="s">
        <v>1361</v>
      </c>
      <c r="I477" t="s">
        <v>870</v>
      </c>
      <c r="J477">
        <v>31</v>
      </c>
      <c r="K477" t="s">
        <v>877</v>
      </c>
      <c r="L477" t="b">
        <v>0</v>
      </c>
      <c r="M477" s="2">
        <v>45349.453761574077</v>
      </c>
      <c r="N477">
        <v>2024</v>
      </c>
    </row>
    <row r="478" spans="1:14" x14ac:dyDescent="0.25">
      <c r="A478" s="1" t="s">
        <v>431</v>
      </c>
      <c r="B478" s="1" t="s">
        <v>432</v>
      </c>
      <c r="C478" t="s">
        <v>432</v>
      </c>
      <c r="D478" s="1" t="s">
        <v>431</v>
      </c>
      <c r="E478" s="1" t="s">
        <v>433</v>
      </c>
      <c r="F478">
        <v>2026</v>
      </c>
      <c r="G478">
        <v>305466</v>
      </c>
      <c r="H478" t="s">
        <v>993</v>
      </c>
      <c r="I478" t="s">
        <v>871</v>
      </c>
      <c r="J478">
        <v>59</v>
      </c>
      <c r="K478" t="s">
        <v>879</v>
      </c>
      <c r="L478" t="b">
        <v>0</v>
      </c>
      <c r="M478" s="2">
        <v>46151.489479166667</v>
      </c>
      <c r="N478">
        <v>2026</v>
      </c>
    </row>
    <row r="479" spans="1:14" x14ac:dyDescent="0.25">
      <c r="A479" s="1" t="s">
        <v>434</v>
      </c>
      <c r="B479" s="1" t="s">
        <v>432</v>
      </c>
      <c r="C479" t="s">
        <v>432</v>
      </c>
      <c r="D479" s="1" t="s">
        <v>434</v>
      </c>
      <c r="E479" s="1" t="s">
        <v>435</v>
      </c>
      <c r="F479">
        <v>2026</v>
      </c>
      <c r="G479">
        <v>245378</v>
      </c>
      <c r="H479" t="s">
        <v>1000</v>
      </c>
      <c r="I479" t="s">
        <v>868</v>
      </c>
      <c r="J479">
        <v>56</v>
      </c>
      <c r="K479" t="s">
        <v>879</v>
      </c>
      <c r="L479" t="b">
        <v>0</v>
      </c>
      <c r="M479" s="2">
        <v>46151.489479166667</v>
      </c>
      <c r="N479">
        <v>2026</v>
      </c>
    </row>
    <row r="480" spans="1:14" x14ac:dyDescent="0.25">
      <c r="A480" s="1" t="s">
        <v>436</v>
      </c>
      <c r="B480" s="1" t="s">
        <v>432</v>
      </c>
      <c r="C480" t="s">
        <v>432</v>
      </c>
      <c r="D480" s="1" t="s">
        <v>436</v>
      </c>
      <c r="E480" s="1" t="s">
        <v>437</v>
      </c>
      <c r="F480">
        <v>2026</v>
      </c>
      <c r="G480">
        <v>212960</v>
      </c>
      <c r="H480" t="s">
        <v>996</v>
      </c>
      <c r="I480" t="s">
        <v>870</v>
      </c>
      <c r="J480">
        <v>49</v>
      </c>
      <c r="K480" t="s">
        <v>879</v>
      </c>
      <c r="L480" t="b">
        <v>0</v>
      </c>
      <c r="M480" s="2">
        <v>46151.489479166667</v>
      </c>
      <c r="N480">
        <v>2026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98AB2-A79D-4DD4-9518-093C4941A09D}">
  <dimension ref="A3:C20"/>
  <sheetViews>
    <sheetView workbookViewId="0">
      <selection activeCell="A3" sqref="A3"/>
    </sheetView>
  </sheetViews>
  <sheetFormatPr baseColWidth="10" defaultRowHeight="15" x14ac:dyDescent="0.25"/>
  <sheetData>
    <row r="3" spans="1:3" x14ac:dyDescent="0.25">
      <c r="A3" s="12"/>
      <c r="B3" s="13"/>
      <c r="C3" s="14"/>
    </row>
    <row r="4" spans="1:3" x14ac:dyDescent="0.25">
      <c r="A4" s="15"/>
      <c r="B4" s="16"/>
      <c r="C4" s="17"/>
    </row>
    <row r="5" spans="1:3" x14ac:dyDescent="0.25">
      <c r="A5" s="15"/>
      <c r="B5" s="16"/>
      <c r="C5" s="17"/>
    </row>
    <row r="6" spans="1:3" x14ac:dyDescent="0.25">
      <c r="A6" s="15"/>
      <c r="B6" s="16"/>
      <c r="C6" s="17"/>
    </row>
    <row r="7" spans="1:3" x14ac:dyDescent="0.25">
      <c r="A7" s="15"/>
      <c r="B7" s="16"/>
      <c r="C7" s="17"/>
    </row>
    <row r="8" spans="1:3" x14ac:dyDescent="0.25">
      <c r="A8" s="15"/>
      <c r="B8" s="16"/>
      <c r="C8" s="17"/>
    </row>
    <row r="9" spans="1:3" x14ac:dyDescent="0.25">
      <c r="A9" s="15"/>
      <c r="B9" s="16"/>
      <c r="C9" s="17"/>
    </row>
    <row r="10" spans="1:3" x14ac:dyDescent="0.25">
      <c r="A10" s="15"/>
      <c r="B10" s="16"/>
      <c r="C10" s="17"/>
    </row>
    <row r="11" spans="1:3" x14ac:dyDescent="0.25">
      <c r="A11" s="15"/>
      <c r="B11" s="16"/>
      <c r="C11" s="17"/>
    </row>
    <row r="12" spans="1:3" x14ac:dyDescent="0.25">
      <c r="A12" s="15"/>
      <c r="B12" s="16"/>
      <c r="C12" s="17"/>
    </row>
    <row r="13" spans="1:3" x14ac:dyDescent="0.25">
      <c r="A13" s="15"/>
      <c r="B13" s="16"/>
      <c r="C13" s="17"/>
    </row>
    <row r="14" spans="1:3" x14ac:dyDescent="0.25">
      <c r="A14" s="15"/>
      <c r="B14" s="16"/>
      <c r="C14" s="17"/>
    </row>
    <row r="15" spans="1:3" x14ac:dyDescent="0.25">
      <c r="A15" s="15"/>
      <c r="B15" s="16"/>
      <c r="C15" s="17"/>
    </row>
    <row r="16" spans="1:3" x14ac:dyDescent="0.25">
      <c r="A16" s="15"/>
      <c r="B16" s="16"/>
      <c r="C16" s="17"/>
    </row>
    <row r="17" spans="1:3" x14ac:dyDescent="0.25">
      <c r="A17" s="15"/>
      <c r="B17" s="16"/>
      <c r="C17" s="17"/>
    </row>
    <row r="18" spans="1:3" x14ac:dyDescent="0.25">
      <c r="A18" s="15"/>
      <c r="B18" s="16"/>
      <c r="C18" s="17"/>
    </row>
    <row r="19" spans="1:3" x14ac:dyDescent="0.25">
      <c r="A19" s="15"/>
      <c r="B19" s="16"/>
      <c r="C19" s="17"/>
    </row>
    <row r="20" spans="1:3" x14ac:dyDescent="0.25">
      <c r="A20" s="18"/>
      <c r="B20" s="19"/>
      <c r="C20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292EA-3F51-445A-BC4B-2AEC8463FFC1}">
  <dimension ref="A1:U45"/>
  <sheetViews>
    <sheetView showGridLines="0" showRowColHeaders="0" tabSelected="1" topLeftCell="E1" zoomScaleNormal="100" workbookViewId="0">
      <selection activeCell="N40" sqref="N40"/>
    </sheetView>
  </sheetViews>
  <sheetFormatPr baseColWidth="10" defaultRowHeight="15" x14ac:dyDescent="0.25"/>
  <cols>
    <col min="1" max="1" width="24.5703125" bestFit="1" customWidth="1"/>
    <col min="2" max="2" width="27.140625" bestFit="1" customWidth="1"/>
    <col min="3" max="3" width="1.85546875" style="24" customWidth="1"/>
    <col min="4" max="4" width="17.85546875" bestFit="1" customWidth="1"/>
    <col min="5" max="5" width="25.140625" bestFit="1" customWidth="1"/>
    <col min="6" max="6" width="1.7109375" style="24" customWidth="1"/>
    <col min="7" max="7" width="26.42578125" bestFit="1" customWidth="1"/>
    <col min="8" max="8" width="29.85546875" bestFit="1" customWidth="1"/>
    <col min="9" max="9" width="1.85546875" style="24" customWidth="1"/>
    <col min="10" max="10" width="17.85546875" bestFit="1" customWidth="1"/>
    <col min="11" max="11" width="32.85546875" bestFit="1" customWidth="1"/>
    <col min="12" max="12" width="1.7109375" style="24" customWidth="1"/>
    <col min="13" max="13" width="17.85546875" bestFit="1" customWidth="1"/>
    <col min="14" max="14" width="32.85546875" customWidth="1"/>
    <col min="15" max="15" width="2" style="24" customWidth="1"/>
    <col min="16" max="16" width="17.85546875" bestFit="1" customWidth="1"/>
    <col min="17" max="17" width="32.85546875" bestFit="1" customWidth="1"/>
    <col min="18" max="18" width="2.42578125" style="26" customWidth="1"/>
    <col min="19" max="19" width="17.85546875" bestFit="1" customWidth="1"/>
    <col min="20" max="20" width="32.85546875" bestFit="1" customWidth="1"/>
    <col min="21" max="21" width="2.28515625" style="24" customWidth="1"/>
    <col min="22" max="22" width="17.85546875" bestFit="1" customWidth="1"/>
    <col min="23" max="23" width="30.5703125" bestFit="1" customWidth="1"/>
    <col min="24" max="24" width="17.85546875" bestFit="1" customWidth="1"/>
    <col min="25" max="26" width="25.140625" bestFit="1" customWidth="1"/>
  </cols>
  <sheetData>
    <row r="1" spans="1:20" x14ac:dyDescent="0.25">
      <c r="A1" s="31" t="s">
        <v>1377</v>
      </c>
      <c r="B1" s="31"/>
      <c r="D1" s="31" t="s">
        <v>1369</v>
      </c>
      <c r="E1" s="31"/>
      <c r="F1" s="23"/>
      <c r="G1" s="31" t="s">
        <v>1370</v>
      </c>
      <c r="H1" s="31"/>
      <c r="I1" s="23"/>
      <c r="J1" s="31" t="s">
        <v>867</v>
      </c>
      <c r="K1" s="31"/>
      <c r="L1" s="23"/>
      <c r="M1" s="31" t="s">
        <v>1372</v>
      </c>
      <c r="N1" s="31"/>
      <c r="O1" s="23"/>
      <c r="P1" s="31" t="s">
        <v>1374</v>
      </c>
      <c r="Q1" s="31"/>
      <c r="S1" s="31" t="s">
        <v>1373</v>
      </c>
      <c r="T1" s="31"/>
    </row>
    <row r="2" spans="1:20" x14ac:dyDescent="0.25">
      <c r="A2" s="4" t="s">
        <v>859</v>
      </c>
      <c r="D2" s="9" t="s">
        <v>865</v>
      </c>
      <c r="E2" t="s">
        <v>890</v>
      </c>
      <c r="G2" s="9" t="s">
        <v>865</v>
      </c>
      <c r="H2" t="s">
        <v>1368</v>
      </c>
      <c r="J2" s="9" t="s">
        <v>865</v>
      </c>
      <c r="K2" t="s">
        <v>1371</v>
      </c>
      <c r="M2" s="9" t="s">
        <v>865</v>
      </c>
      <c r="N2" t="s">
        <v>1371</v>
      </c>
      <c r="P2" s="9" t="s">
        <v>865</v>
      </c>
      <c r="Q2" t="s">
        <v>1371</v>
      </c>
      <c r="S2" s="9" t="s">
        <v>865</v>
      </c>
      <c r="T2" t="s">
        <v>1371</v>
      </c>
    </row>
    <row r="3" spans="1:20" x14ac:dyDescent="0.25">
      <c r="A3" s="3">
        <f>GETPIVOTDATA("[Measures].[Total de canciones]",$A$21)</f>
        <v>479</v>
      </c>
      <c r="D3" s="3" t="s">
        <v>251</v>
      </c>
      <c r="E3" s="1">
        <v>6</v>
      </c>
      <c r="F3" s="25"/>
      <c r="G3" s="3" t="s">
        <v>521</v>
      </c>
      <c r="H3" s="1">
        <v>10</v>
      </c>
      <c r="I3" s="25"/>
      <c r="J3" s="3" t="s">
        <v>869</v>
      </c>
      <c r="K3" s="1">
        <v>33</v>
      </c>
      <c r="L3" s="25"/>
      <c r="M3" s="3" t="s">
        <v>876</v>
      </c>
      <c r="N3" s="1">
        <v>86</v>
      </c>
      <c r="O3" s="25"/>
      <c r="P3" s="3">
        <v>1989</v>
      </c>
      <c r="Q3" s="1">
        <v>1</v>
      </c>
      <c r="S3" s="3">
        <v>2022</v>
      </c>
      <c r="T3" s="1">
        <v>143</v>
      </c>
    </row>
    <row r="4" spans="1:20" x14ac:dyDescent="0.25">
      <c r="A4" s="5" t="s">
        <v>860</v>
      </c>
      <c r="D4" s="3" t="s">
        <v>64</v>
      </c>
      <c r="E4" s="1">
        <v>8</v>
      </c>
      <c r="F4" s="25"/>
      <c r="G4" s="3" t="s">
        <v>439</v>
      </c>
      <c r="H4" s="1">
        <v>10</v>
      </c>
      <c r="I4" s="25"/>
      <c r="J4" s="3" t="s">
        <v>870</v>
      </c>
      <c r="K4" s="1">
        <v>241</v>
      </c>
      <c r="L4" s="25"/>
      <c r="M4" s="3" t="s">
        <v>877</v>
      </c>
      <c r="N4" s="1">
        <v>149</v>
      </c>
      <c r="O4" s="25"/>
      <c r="P4" s="3">
        <v>1991</v>
      </c>
      <c r="Q4" s="1">
        <v>7</v>
      </c>
      <c r="S4" s="3">
        <v>2023</v>
      </c>
      <c r="T4" s="1">
        <v>15</v>
      </c>
    </row>
    <row r="5" spans="1:20" x14ac:dyDescent="0.25">
      <c r="A5" s="3">
        <f>GETPIVOTDATA("[Measures].[Total artistas]",$A$21)</f>
        <v>35</v>
      </c>
      <c r="D5" s="3" t="s">
        <v>57</v>
      </c>
      <c r="E5" s="1">
        <v>8</v>
      </c>
      <c r="F5" s="25"/>
      <c r="G5" s="3" t="s">
        <v>799</v>
      </c>
      <c r="H5" s="1">
        <v>10</v>
      </c>
      <c r="I5" s="25"/>
      <c r="J5" s="3" t="s">
        <v>868</v>
      </c>
      <c r="K5" s="1">
        <v>168</v>
      </c>
      <c r="L5" s="25"/>
      <c r="M5" s="3" t="s">
        <v>879</v>
      </c>
      <c r="N5" s="1">
        <v>201</v>
      </c>
      <c r="O5" s="25"/>
      <c r="P5" s="3">
        <v>1992</v>
      </c>
      <c r="Q5" s="1">
        <v>1</v>
      </c>
      <c r="S5" s="3">
        <v>2024</v>
      </c>
      <c r="T5" s="1">
        <v>9</v>
      </c>
    </row>
    <row r="6" spans="1:20" x14ac:dyDescent="0.25">
      <c r="A6" s="5" t="s">
        <v>861</v>
      </c>
      <c r="D6" s="3" t="s">
        <v>38</v>
      </c>
      <c r="E6" s="1">
        <v>9</v>
      </c>
      <c r="F6" s="25"/>
      <c r="G6" s="3" t="s">
        <v>835</v>
      </c>
      <c r="H6" s="1">
        <v>11</v>
      </c>
      <c r="I6" s="25"/>
      <c r="J6" s="3" t="s">
        <v>871</v>
      </c>
      <c r="K6" s="1">
        <v>37</v>
      </c>
      <c r="L6" s="25"/>
      <c r="M6" s="3" t="s">
        <v>880</v>
      </c>
      <c r="N6" s="1">
        <v>5</v>
      </c>
      <c r="O6" s="25"/>
      <c r="P6" s="3">
        <v>1993</v>
      </c>
      <c r="Q6" s="1">
        <v>2</v>
      </c>
      <c r="S6" s="3">
        <v>2026</v>
      </c>
      <c r="T6" s="1">
        <v>312</v>
      </c>
    </row>
    <row r="7" spans="1:20" x14ac:dyDescent="0.25">
      <c r="A7" s="3">
        <f>GETPIVOTDATA("[Measures].[Total álbumes]",$A$21)</f>
        <v>193</v>
      </c>
      <c r="D7" s="3" t="s">
        <v>12</v>
      </c>
      <c r="E7" s="1">
        <v>15</v>
      </c>
      <c r="F7" s="25"/>
      <c r="G7" s="3" t="s">
        <v>526</v>
      </c>
      <c r="H7" s="1">
        <v>11</v>
      </c>
      <c r="I7" s="25"/>
      <c r="J7" s="3" t="s">
        <v>866</v>
      </c>
      <c r="K7" s="1">
        <v>479</v>
      </c>
      <c r="L7" s="25"/>
      <c r="M7" s="3" t="s">
        <v>878</v>
      </c>
      <c r="N7" s="1">
        <v>38</v>
      </c>
      <c r="O7" s="25"/>
      <c r="P7" s="3">
        <v>1994</v>
      </c>
      <c r="Q7" s="1">
        <v>6</v>
      </c>
      <c r="S7" s="3" t="s">
        <v>866</v>
      </c>
      <c r="T7" s="1">
        <v>479</v>
      </c>
    </row>
    <row r="8" spans="1:20" x14ac:dyDescent="0.25">
      <c r="A8" s="5" t="s">
        <v>862</v>
      </c>
      <c r="D8" s="3" t="s">
        <v>71</v>
      </c>
      <c r="E8" s="1">
        <v>19</v>
      </c>
      <c r="F8" s="25"/>
      <c r="G8" s="3" t="s">
        <v>442</v>
      </c>
      <c r="H8" s="1">
        <v>11</v>
      </c>
      <c r="I8" s="25"/>
      <c r="J8" s="1"/>
      <c r="K8" s="1"/>
      <c r="L8" s="25"/>
      <c r="M8" s="3" t="s">
        <v>866</v>
      </c>
      <c r="N8" s="1">
        <v>479</v>
      </c>
      <c r="O8" s="25"/>
      <c r="P8" s="3">
        <v>1995</v>
      </c>
      <c r="Q8" s="1">
        <v>9</v>
      </c>
    </row>
    <row r="9" spans="1:20" x14ac:dyDescent="0.25">
      <c r="A9" s="6">
        <f>GETPIVOTDATA("[Measures].[Duracion Total]",$A$21)</f>
        <v>1.3170694791666666</v>
      </c>
      <c r="D9" s="3" t="s">
        <v>16</v>
      </c>
      <c r="E9" s="1">
        <v>31</v>
      </c>
      <c r="F9" s="25"/>
      <c r="G9" s="3" t="s">
        <v>30</v>
      </c>
      <c r="H9" s="1">
        <v>11</v>
      </c>
      <c r="I9" s="25"/>
      <c r="J9" s="1"/>
      <c r="K9" s="1"/>
      <c r="L9" s="25"/>
      <c r="M9" s="1"/>
      <c r="N9" s="1"/>
      <c r="O9" s="25"/>
      <c r="P9" s="3">
        <v>1997</v>
      </c>
      <c r="Q9" s="1">
        <v>10</v>
      </c>
    </row>
    <row r="10" spans="1:20" x14ac:dyDescent="0.25">
      <c r="A10" s="5" t="s">
        <v>863</v>
      </c>
      <c r="D10" s="3" t="s">
        <v>316</v>
      </c>
      <c r="E10" s="1">
        <v>89</v>
      </c>
      <c r="F10" s="25"/>
      <c r="G10" s="3" t="s">
        <v>475</v>
      </c>
      <c r="H10" s="1">
        <v>12</v>
      </c>
      <c r="I10" s="25"/>
      <c r="J10" s="1"/>
      <c r="K10" s="1"/>
      <c r="L10" s="25"/>
      <c r="M10" s="1"/>
      <c r="N10" s="1"/>
      <c r="O10" s="25"/>
      <c r="P10" s="3">
        <v>1998</v>
      </c>
      <c r="Q10" s="1">
        <v>11</v>
      </c>
    </row>
    <row r="11" spans="1:20" x14ac:dyDescent="0.25">
      <c r="A11" s="7">
        <f>GETPIVOTDATA("[Measures].[Duracion Promedio]",$A$21)</f>
        <v>2.7496231297842728E-3</v>
      </c>
      <c r="D11" s="3" t="s">
        <v>26</v>
      </c>
      <c r="E11" s="1">
        <v>106</v>
      </c>
      <c r="F11" s="25"/>
      <c r="G11" s="3" t="s">
        <v>61</v>
      </c>
      <c r="H11" s="1">
        <v>13</v>
      </c>
      <c r="I11" s="25"/>
      <c r="J11" s="1"/>
      <c r="K11" s="1"/>
      <c r="L11" s="25"/>
      <c r="M11" s="1"/>
      <c r="N11" s="1"/>
      <c r="O11" s="25"/>
      <c r="P11" s="3">
        <v>2000</v>
      </c>
      <c r="Q11" s="1">
        <v>10</v>
      </c>
    </row>
    <row r="12" spans="1:20" x14ac:dyDescent="0.25">
      <c r="A12" s="4" t="s">
        <v>864</v>
      </c>
      <c r="D12" s="3" t="s">
        <v>432</v>
      </c>
      <c r="E12" s="1">
        <v>137</v>
      </c>
      <c r="F12" s="25"/>
      <c r="G12" s="3" t="s">
        <v>453</v>
      </c>
      <c r="H12" s="1">
        <v>20</v>
      </c>
      <c r="I12" s="25"/>
      <c r="J12" s="1"/>
      <c r="K12" s="1"/>
      <c r="L12" s="25"/>
      <c r="M12" s="1"/>
      <c r="N12" s="1"/>
      <c r="O12" s="25"/>
      <c r="P12" s="3">
        <v>2001</v>
      </c>
      <c r="Q12" s="1">
        <v>6</v>
      </c>
    </row>
    <row r="13" spans="1:20" x14ac:dyDescent="0.25">
      <c r="A13" s="8">
        <f>GETPIVOTDATA("[Measures].[Popularidad promedio]",$A$21)</f>
        <v>44.549060542797491</v>
      </c>
      <c r="D13" s="3" t="s">
        <v>866</v>
      </c>
      <c r="E13" s="1">
        <v>428</v>
      </c>
      <c r="F13" s="25"/>
      <c r="G13" s="3" t="s">
        <v>866</v>
      </c>
      <c r="H13" s="1">
        <v>119</v>
      </c>
      <c r="I13" s="25"/>
      <c r="J13" s="1"/>
      <c r="K13" s="1"/>
      <c r="L13" s="25"/>
      <c r="M13" s="1"/>
      <c r="N13" s="1"/>
      <c r="O13" s="25"/>
      <c r="P13" s="3">
        <v>2002</v>
      </c>
      <c r="Q13" s="1">
        <v>4</v>
      </c>
    </row>
    <row r="14" spans="1:20" x14ac:dyDescent="0.25">
      <c r="A14" s="5" t="s">
        <v>872</v>
      </c>
      <c r="P14" s="3">
        <v>2003</v>
      </c>
      <c r="Q14" s="1">
        <v>7</v>
      </c>
    </row>
    <row r="15" spans="1:20" x14ac:dyDescent="0.25">
      <c r="A15" s="3">
        <f>GETPIVOTDATA("[Measures].[Canciones explícitas]",$A$21)</f>
        <v>1</v>
      </c>
      <c r="P15" s="3">
        <v>2004</v>
      </c>
      <c r="Q15" s="1">
        <v>8</v>
      </c>
    </row>
    <row r="16" spans="1:20" x14ac:dyDescent="0.25">
      <c r="A16" s="5" t="s">
        <v>873</v>
      </c>
      <c r="P16" s="3">
        <v>2005</v>
      </c>
      <c r="Q16" s="1">
        <v>17</v>
      </c>
    </row>
    <row r="17" spans="1:17" x14ac:dyDescent="0.25">
      <c r="A17" s="3">
        <f>GETPIVOTDATA("[Measures].[No explícitas]",$A$21)</f>
        <v>478</v>
      </c>
      <c r="P17" s="3">
        <v>2006</v>
      </c>
      <c r="Q17" s="1">
        <v>15</v>
      </c>
    </row>
    <row r="18" spans="1:17" x14ac:dyDescent="0.25">
      <c r="A18" s="4" t="s">
        <v>874</v>
      </c>
      <c r="P18" s="3">
        <v>2007</v>
      </c>
      <c r="Q18" s="1">
        <v>6</v>
      </c>
    </row>
    <row r="19" spans="1:17" x14ac:dyDescent="0.25">
      <c r="A19" s="10">
        <f>GETPIVOTDATA("[Measures].[% Explicitas]",$A$21)</f>
        <v>2.0876826722338203E-3</v>
      </c>
      <c r="P19" s="3">
        <v>2008</v>
      </c>
      <c r="Q19" s="1">
        <v>7</v>
      </c>
    </row>
    <row r="20" spans="1:17" x14ac:dyDescent="0.25">
      <c r="A20" s="24"/>
      <c r="B20" s="24"/>
      <c r="P20" s="3">
        <v>2009</v>
      </c>
      <c r="Q20" s="1">
        <v>17</v>
      </c>
    </row>
    <row r="21" spans="1:17" x14ac:dyDescent="0.25">
      <c r="A21" s="9" t="s">
        <v>1367</v>
      </c>
      <c r="P21" s="3">
        <v>2010</v>
      </c>
      <c r="Q21" s="1">
        <v>12</v>
      </c>
    </row>
    <row r="22" spans="1:17" x14ac:dyDescent="0.25">
      <c r="A22" s="3" t="s">
        <v>859</v>
      </c>
      <c r="B22" s="1">
        <v>479</v>
      </c>
      <c r="C22" s="25"/>
      <c r="P22" s="3">
        <v>2011</v>
      </c>
      <c r="Q22" s="1">
        <v>35</v>
      </c>
    </row>
    <row r="23" spans="1:17" x14ac:dyDescent="0.25">
      <c r="A23" s="3" t="s">
        <v>1362</v>
      </c>
      <c r="B23" s="1">
        <v>35</v>
      </c>
      <c r="C23" s="25"/>
      <c r="P23" s="3">
        <v>2012</v>
      </c>
      <c r="Q23" s="1">
        <v>31</v>
      </c>
    </row>
    <row r="24" spans="1:17" x14ac:dyDescent="0.25">
      <c r="A24" s="3" t="s">
        <v>1363</v>
      </c>
      <c r="B24" s="1">
        <v>193</v>
      </c>
      <c r="C24" s="25"/>
      <c r="P24" s="3">
        <v>2013</v>
      </c>
      <c r="Q24" s="1">
        <v>8</v>
      </c>
    </row>
    <row r="25" spans="1:17" x14ac:dyDescent="0.25">
      <c r="A25" s="3" t="s">
        <v>864</v>
      </c>
      <c r="B25" s="21">
        <v>44.549060542797491</v>
      </c>
      <c r="C25" s="27"/>
      <c r="P25" s="3">
        <v>2014</v>
      </c>
      <c r="Q25" s="1">
        <v>28</v>
      </c>
    </row>
    <row r="26" spans="1:17" x14ac:dyDescent="0.25">
      <c r="A26" s="3" t="s">
        <v>1364</v>
      </c>
      <c r="B26" s="1">
        <v>1</v>
      </c>
      <c r="C26" s="25"/>
      <c r="P26" s="3">
        <v>2015</v>
      </c>
      <c r="Q26" s="1">
        <v>14</v>
      </c>
    </row>
    <row r="27" spans="1:17" x14ac:dyDescent="0.25">
      <c r="A27" s="3" t="s">
        <v>1365</v>
      </c>
      <c r="B27" s="1">
        <v>478</v>
      </c>
      <c r="C27" s="25"/>
      <c r="P27" s="3">
        <v>2016</v>
      </c>
      <c r="Q27" s="1">
        <v>16</v>
      </c>
    </row>
    <row r="28" spans="1:17" x14ac:dyDescent="0.25">
      <c r="A28" s="3" t="s">
        <v>1366</v>
      </c>
      <c r="B28" s="22">
        <v>2.0876826722338203E-3</v>
      </c>
      <c r="C28" s="28"/>
      <c r="P28" s="3">
        <v>2017</v>
      </c>
      <c r="Q28" s="1">
        <v>32</v>
      </c>
    </row>
    <row r="29" spans="1:17" x14ac:dyDescent="0.25">
      <c r="A29" s="3" t="s">
        <v>1375</v>
      </c>
      <c r="B29" s="29">
        <v>1.3170694791666666</v>
      </c>
      <c r="P29" s="3">
        <v>2018</v>
      </c>
      <c r="Q29" s="1">
        <v>21</v>
      </c>
    </row>
    <row r="30" spans="1:17" x14ac:dyDescent="0.25">
      <c r="A30" s="3" t="s">
        <v>1376</v>
      </c>
      <c r="B30" s="30">
        <v>2.7496231297842728E-3</v>
      </c>
      <c r="P30" s="3">
        <v>2019</v>
      </c>
      <c r="Q30" s="1">
        <v>18</v>
      </c>
    </row>
    <row r="31" spans="1:17" x14ac:dyDescent="0.25">
      <c r="P31" s="3">
        <v>2020</v>
      </c>
      <c r="Q31" s="1">
        <v>15</v>
      </c>
    </row>
    <row r="32" spans="1:17" x14ac:dyDescent="0.25">
      <c r="A32" s="9" t="s">
        <v>1367</v>
      </c>
      <c r="P32" s="3">
        <v>2021</v>
      </c>
      <c r="Q32" s="1">
        <v>29</v>
      </c>
    </row>
    <row r="33" spans="1:17" x14ac:dyDescent="0.25">
      <c r="A33" s="3" t="s">
        <v>1378</v>
      </c>
      <c r="B33" s="1" t="s">
        <v>802</v>
      </c>
      <c r="P33" s="3">
        <v>2022</v>
      </c>
      <c r="Q33" s="1">
        <v>16</v>
      </c>
    </row>
    <row r="34" spans="1:17" x14ac:dyDescent="0.25">
      <c r="A34" s="3" t="s">
        <v>1381</v>
      </c>
      <c r="B34" s="1" t="s">
        <v>187</v>
      </c>
      <c r="P34" s="3">
        <v>2023</v>
      </c>
      <c r="Q34" s="1">
        <v>21</v>
      </c>
    </row>
    <row r="35" spans="1:17" x14ac:dyDescent="0.25">
      <c r="A35" s="3" t="s">
        <v>1383</v>
      </c>
      <c r="B35" s="1" t="s">
        <v>807</v>
      </c>
      <c r="P35" s="3">
        <v>2024</v>
      </c>
      <c r="Q35" s="1">
        <v>1</v>
      </c>
    </row>
    <row r="36" spans="1:17" x14ac:dyDescent="0.25">
      <c r="A36" s="3" t="s">
        <v>1384</v>
      </c>
      <c r="B36" s="1" t="s">
        <v>610</v>
      </c>
      <c r="P36" s="3">
        <v>2025</v>
      </c>
      <c r="Q36" s="1">
        <v>22</v>
      </c>
    </row>
    <row r="37" spans="1:17" x14ac:dyDescent="0.25">
      <c r="A37" s="3" t="s">
        <v>1385</v>
      </c>
      <c r="B37" s="1" t="s">
        <v>453</v>
      </c>
      <c r="P37" s="3">
        <v>2026</v>
      </c>
      <c r="Q37" s="1">
        <v>16</v>
      </c>
    </row>
    <row r="38" spans="1:17" x14ac:dyDescent="0.25">
      <c r="P38" s="3" t="s">
        <v>866</v>
      </c>
      <c r="Q38" s="1">
        <v>479</v>
      </c>
    </row>
    <row r="39" spans="1:17" x14ac:dyDescent="0.25">
      <c r="A39" s="31" t="s">
        <v>1379</v>
      </c>
      <c r="B39" s="31"/>
    </row>
    <row r="40" spans="1:17" x14ac:dyDescent="0.25">
      <c r="A40" t="s">
        <v>1380</v>
      </c>
      <c r="B40" t="str">
        <f>GETPIVOTDATA("[Measures].[Cancion mas larga]",$A$32)</f>
        <v>Planta 7 (feat. Vicente Amigo)</v>
      </c>
    </row>
    <row r="41" spans="1:17" x14ac:dyDescent="0.25">
      <c r="A41" t="s">
        <v>1382</v>
      </c>
      <c r="B41" t="str">
        <f>GETPIVOTDATA("[Measures].[Cancion mas popular]",$A$32)</f>
        <v>Rosas</v>
      </c>
    </row>
    <row r="42" spans="1:17" x14ac:dyDescent="0.25">
      <c r="A42" s="3" t="s">
        <v>1383</v>
      </c>
      <c r="B42" t="str">
        <f>GETPIVOTDATA("[Measures].[Canción más corta]",$A$32)</f>
        <v>Te invito</v>
      </c>
    </row>
    <row r="43" spans="1:17" x14ac:dyDescent="0.25">
      <c r="A43" s="3" t="s">
        <v>1384</v>
      </c>
      <c r="B43" t="str">
        <f>GETPIVOTDATA("[Measures].[Canción menos popular]",$A$32)</f>
        <v>Cenizas en la eternidad</v>
      </c>
    </row>
    <row r="44" spans="1:17" x14ac:dyDescent="0.25">
      <c r="A44" s="3" t="s">
        <v>1385</v>
      </c>
      <c r="B44" t="str">
        <f>GETPIVOTDATA("[Measures].[Álbum con más canciones]",$A$32)</f>
        <v>Yo me veo contigo</v>
      </c>
    </row>
    <row r="45" spans="1:17" x14ac:dyDescent="0.25">
      <c r="A45" s="24"/>
      <c r="B45" s="24"/>
    </row>
  </sheetData>
  <mergeCells count="8">
    <mergeCell ref="A1:B1"/>
    <mergeCell ref="A39:B39"/>
    <mergeCell ref="P1:Q1"/>
    <mergeCell ref="S1:T1"/>
    <mergeCell ref="D1:E1"/>
    <mergeCell ref="G1:H1"/>
    <mergeCell ref="J1:K1"/>
    <mergeCell ref="M1:N1"/>
  </mergeCells>
  <pageMargins left="0.7" right="0.7" top="0.75" bottom="0.75" header="0.3" footer="0.3"/>
  <pageSetup orientation="portrait" horizontalDpi="0" verticalDpi="0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348D0-C600-4F6D-A8F6-4444535ECB41}">
  <dimension ref="A1:AD47"/>
  <sheetViews>
    <sheetView showGridLines="0" showRowColHeaders="0" zoomScaleNormal="100" workbookViewId="0">
      <selection activeCell="W47" sqref="W47"/>
    </sheetView>
  </sheetViews>
  <sheetFormatPr baseColWidth="10" defaultRowHeight="15" x14ac:dyDescent="0.25"/>
  <sheetData>
    <row r="1" spans="1:29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spans="1:29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spans="1:29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29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spans="1:29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spans="1:29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spans="1:29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spans="1:29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spans="1:29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spans="1:29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spans="1:29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spans="1:29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spans="1:29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spans="1:29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spans="1:29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spans="1:29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spans="1:29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spans="1:29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spans="1:29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spans="1:29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spans="1:29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spans="1:29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spans="1:29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spans="1:29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spans="1:29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spans="1:29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spans="1:29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spans="1:29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 spans="1:29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spans="1:29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spans="1:30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spans="1:30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spans="1:30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spans="1:30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spans="1:30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spans="1:30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spans="1:30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spans="1:30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spans="1:30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1:30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spans="1:30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spans="1:30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spans="1:30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spans="1:30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spans="1:30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</sheetData>
  <sortState xmlns:xlrd2="http://schemas.microsoft.com/office/spreadsheetml/2017/richdata2" ref="G9:H9">
    <sortCondition descending="1" ref="G9"/>
  </sortState>
  <pageMargins left="0.70866141732283472" right="0.70866141732283472" top="0.74803149606299213" bottom="0.74803149606299213" header="0.31496062992125984" footer="0.31496062992125984"/>
  <pageSetup paperSize="261" scale="90" orientation="landscape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<ض�<ض�
</file>

<file path=customXml/item3.xml>��
</file>

<file path=customXml/item4.xml>��
</file>

<file path=customXml/item5.xml>��
</file>

<file path=customXml/item6.xml>��<ض�
</file>

<file path=customXml/item7.xml>��<ض�
</file>

<file path=customXml/item8.xml>��
</file>

<file path=customXml/item9.xml>��
</file>

<file path=customXml/item10.xml>��<ض�<ض�
</file>

<file path=customXml/item11.xml>��<ض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<ض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E00E3ACF-DD3B-4C79-B352-BE7DF41D8D17}">
  <ds:schemaRefs/>
</ds:datastoreItem>
</file>

<file path=customXml/itemProps2.xml><?xml version="1.0" encoding="utf-8"?>
<ds:datastoreItem xmlns:ds="http://schemas.openxmlformats.org/officeDocument/2006/customXml" ds:itemID="{CE566C50-DBCB-452D-B0FC-224FCB086F5A}">
  <ds:schemaRefs/>
</ds:datastoreItem>
</file>

<file path=customXml/itemProps3.xml><?xml version="1.0" encoding="utf-8"?>
<ds:datastoreItem xmlns:ds="http://schemas.openxmlformats.org/officeDocument/2006/customXml" ds:itemID="{1913C006-9074-4E71-8F99-3E60025531D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02B145C-C33A-4CC2-922C-9BDE900FB940}">
  <ds:schemaRefs/>
</ds:datastoreItem>
</file>

<file path=customXml/itemProps5.xml><?xml version="1.0" encoding="utf-8"?>
<ds:datastoreItem xmlns:ds="http://schemas.openxmlformats.org/officeDocument/2006/customXml" ds:itemID="{79CB1C41-0541-4D85-8E5F-DAA7B306A6CB}">
  <ds:schemaRefs/>
</ds:datastoreItem>
</file>

<file path=customXml/itemProps6.xml><?xml version="1.0" encoding="utf-8"?>
<ds:datastoreItem xmlns:ds="http://schemas.openxmlformats.org/officeDocument/2006/customXml" ds:itemID="{F28BFBCB-3CD3-4E7D-8119-528A4A2D6D1F}">
  <ds:schemaRefs/>
</ds:datastoreItem>
</file>

<file path=customXml/itemProps7.xml><?xml version="1.0" encoding="utf-8"?>
<ds:datastoreItem xmlns:ds="http://schemas.openxmlformats.org/officeDocument/2006/customXml" ds:itemID="{5C55FF0D-0B16-4750-BF5D-F04CE34E7817}">
  <ds:schemaRefs/>
</ds:datastoreItem>
</file>

<file path=customXml/itemProps8.xml><?xml version="1.0" encoding="utf-8"?>
<ds:datastoreItem xmlns:ds="http://schemas.openxmlformats.org/officeDocument/2006/customXml" ds:itemID="{E0E338C0-47F5-4308-9486-7224B9C3E69C}">
  <ds:schemaRefs/>
</ds:datastoreItem>
</file>

<file path=customXml/itemProps9.xml><?xml version="1.0" encoding="utf-8"?>
<ds:datastoreItem xmlns:ds="http://schemas.openxmlformats.org/officeDocument/2006/customXml" ds:itemID="{F27291BA-EAE4-4DDF-AFA9-F3F48E600EC3}">
  <ds:schemaRefs/>
</ds:datastoreItem>
</file>

<file path=customXml/itemProps10.xml><?xml version="1.0" encoding="utf-8"?>
<ds:datastoreItem xmlns:ds="http://schemas.openxmlformats.org/officeDocument/2006/customXml" ds:itemID="{657461B9-BE60-46D5-BA3D-EC796A703135}">
  <ds:schemaRefs/>
</ds:datastoreItem>
</file>

<file path=customXml/itemProps11.xml><?xml version="1.0" encoding="utf-8"?>
<ds:datastoreItem xmlns:ds="http://schemas.openxmlformats.org/officeDocument/2006/customXml" ds:itemID="{5688145A-1197-4524-AF0A-A13B96B8ADD2}">
  <ds:schemaRefs/>
</ds:datastoreItem>
</file>

<file path=customXml/itemProps12.xml><?xml version="1.0" encoding="utf-8"?>
<ds:datastoreItem xmlns:ds="http://schemas.openxmlformats.org/officeDocument/2006/customXml" ds:itemID="{8753F310-4E1A-4B61-A420-F92E56DF06B3}">
  <ds:schemaRefs/>
</ds:datastoreItem>
</file>

<file path=customXml/itemProps13.xml><?xml version="1.0" encoding="utf-8"?>
<ds:datastoreItem xmlns:ds="http://schemas.openxmlformats.org/officeDocument/2006/customXml" ds:itemID="{8B349CE4-3405-42D2-A506-F6B354AA27A3}">
  <ds:schemaRefs/>
</ds:datastoreItem>
</file>

<file path=customXml/itemProps14.xml><?xml version="1.0" encoding="utf-8"?>
<ds:datastoreItem xmlns:ds="http://schemas.openxmlformats.org/officeDocument/2006/customXml" ds:itemID="{654504E3-9C6A-43E8-9815-96A64BD6C6EE}">
  <ds:schemaRefs/>
</ds:datastoreItem>
</file>

<file path=customXml/itemProps15.xml><?xml version="1.0" encoding="utf-8"?>
<ds:datastoreItem xmlns:ds="http://schemas.openxmlformats.org/officeDocument/2006/customXml" ds:itemID="{B46265DD-D900-46FB-B510-BF1152633482}">
  <ds:schemaRefs/>
</ds:datastoreItem>
</file>

<file path=customXml/itemProps16.xml><?xml version="1.0" encoding="utf-8"?>
<ds:datastoreItem xmlns:ds="http://schemas.openxmlformats.org/officeDocument/2006/customXml" ds:itemID="{155A89C8-E65A-4506-8504-97325C383957}">
  <ds:schemaRefs/>
</ds:datastoreItem>
</file>

<file path=customXml/itemProps17.xml><?xml version="1.0" encoding="utf-8"?>
<ds:datastoreItem xmlns:ds="http://schemas.openxmlformats.org/officeDocument/2006/customXml" ds:itemID="{315A266C-D3F2-48B3-A34A-0FBFF44DB012}">
  <ds:schemaRefs/>
</ds:datastoreItem>
</file>

<file path=customXml/itemProps18.xml><?xml version="1.0" encoding="utf-8"?>
<ds:datastoreItem xmlns:ds="http://schemas.openxmlformats.org/officeDocument/2006/customXml" ds:itemID="{0AC8343F-8705-4698-B893-4D8595B539FF}">
  <ds:schemaRefs/>
</ds:datastoreItem>
</file>

<file path=customXml/itemProps19.xml><?xml version="1.0" encoding="utf-8"?>
<ds:datastoreItem xmlns:ds="http://schemas.openxmlformats.org/officeDocument/2006/customXml" ds:itemID="{56DCB26B-E3C2-41E8-B827-1C8FC7F6BD49}">
  <ds:schemaRefs/>
</ds:datastoreItem>
</file>

<file path=customXml/itemProps20.xml><?xml version="1.0" encoding="utf-8"?>
<ds:datastoreItem xmlns:ds="http://schemas.openxmlformats.org/officeDocument/2006/customXml" ds:itemID="{52225428-59F5-44A5-8C62-664EC2CFDE1E}">
  <ds:schemaRefs/>
</ds:datastoreItem>
</file>

<file path=customXml/itemProps21.xml><?xml version="1.0" encoding="utf-8"?>
<ds:datastoreItem xmlns:ds="http://schemas.openxmlformats.org/officeDocument/2006/customXml" ds:itemID="{5D8162DB-7066-4249-A1DE-E210FA2FB4FD}">
  <ds:schemaRefs/>
</ds:datastoreItem>
</file>

<file path=customXml/itemProps22.xml><?xml version="1.0" encoding="utf-8"?>
<ds:datastoreItem xmlns:ds="http://schemas.openxmlformats.org/officeDocument/2006/customXml" ds:itemID="{2341BDFF-AA54-4486-9C24-835585B046C9}">
  <ds:schemaRefs/>
</ds:datastoreItem>
</file>

<file path=customXml/itemProps23.xml><?xml version="1.0" encoding="utf-8"?>
<ds:datastoreItem xmlns:ds="http://schemas.openxmlformats.org/officeDocument/2006/customXml" ds:itemID="{132A0482-5E46-48F8-BAF4-BEBEA4D63C1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Hoja2</vt:lpstr>
      <vt:lpstr>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Dalleli Reyes</dc:creator>
  <cp:lastModifiedBy>Dalleli Reyes</cp:lastModifiedBy>
  <cp:lastPrinted>2026-08-07T22:02:15Z</cp:lastPrinted>
  <dcterms:created xsi:type="dcterms:W3CDTF">2026-08-05T23:08:42Z</dcterms:created>
  <dcterms:modified xsi:type="dcterms:W3CDTF">2026-08-21T00:16:56Z</dcterms:modified>
</cp:coreProperties>
</file>